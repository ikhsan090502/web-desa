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6608" windowHeight="9432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0" i="1" l="1"/>
  <c r="J10" i="1"/>
  <c r="J11" i="1" s="1"/>
  <c r="E10" i="1"/>
  <c r="E9" i="1"/>
  <c r="J12" i="1" l="1"/>
  <c r="E12" i="1"/>
  <c r="E11" i="1"/>
  <c r="J13" i="1" l="1"/>
  <c r="E13" i="1"/>
  <c r="J14" i="1" l="1"/>
  <c r="E14" i="1"/>
  <c r="J15" i="1" l="1"/>
  <c r="E15" i="1"/>
  <c r="J16" i="1" l="1"/>
  <c r="E16" i="1"/>
  <c r="J17" i="1" l="1"/>
  <c r="E17" i="1"/>
  <c r="J18" i="1" l="1"/>
  <c r="E18" i="1"/>
  <c r="J19" i="1" l="1"/>
  <c r="E19" i="1"/>
  <c r="J20" i="1" l="1"/>
  <c r="E20" i="1"/>
  <c r="J21" i="1" l="1"/>
  <c r="E21" i="1"/>
  <c r="J22" i="1" l="1"/>
  <c r="E22" i="1"/>
  <c r="J23" i="1" l="1"/>
  <c r="E23" i="1"/>
  <c r="J24" i="1" l="1"/>
  <c r="E24" i="1"/>
  <c r="J25" i="1" l="1"/>
  <c r="E25" i="1"/>
  <c r="J26" i="1" l="1"/>
  <c r="E26" i="1"/>
  <c r="J27" i="1" l="1"/>
  <c r="E27" i="1"/>
  <c r="J28" i="1" l="1"/>
  <c r="E28" i="1"/>
  <c r="J29" i="1" l="1"/>
  <c r="E29" i="1"/>
  <c r="J30" i="1" l="1"/>
  <c r="E30" i="1"/>
  <c r="J31" i="1" l="1"/>
  <c r="E31" i="1"/>
  <c r="J32" i="1" l="1"/>
  <c r="E32" i="1"/>
  <c r="J33" i="1" l="1"/>
  <c r="E33" i="1"/>
  <c r="J34" i="1" l="1"/>
  <c r="E34" i="1"/>
  <c r="J35" i="1" l="1"/>
  <c r="E35" i="1"/>
  <c r="J36" i="1" l="1"/>
  <c r="E36" i="1"/>
  <c r="J37" i="1" l="1"/>
  <c r="E37" i="1"/>
  <c r="J38" i="1" l="1"/>
  <c r="E38" i="1"/>
  <c r="J39" i="1" l="1"/>
  <c r="E39" i="1"/>
  <c r="J40" i="1" l="1"/>
  <c r="E41" i="1" s="1"/>
  <c r="E40" i="1"/>
  <c r="J42" i="1" l="1"/>
  <c r="E42" i="1"/>
  <c r="J43" i="1" l="1"/>
  <c r="E43" i="1"/>
  <c r="J44" i="1" l="1"/>
  <c r="E44" i="1"/>
  <c r="J45" i="1" l="1"/>
  <c r="J46" i="1" l="1"/>
  <c r="J47" i="1" l="1"/>
  <c r="E47" i="1"/>
  <c r="J48" i="1" l="1"/>
  <c r="E48" i="1"/>
  <c r="J49" i="1" l="1"/>
  <c r="E49" i="1"/>
  <c r="J50" i="1" l="1"/>
  <c r="E50" i="1"/>
  <c r="J51" i="1" l="1"/>
  <c r="E51" i="1"/>
  <c r="J52" i="1" l="1"/>
  <c r="E52" i="1"/>
  <c r="J53" i="1" l="1"/>
  <c r="E53" i="1"/>
  <c r="J54" i="1" l="1"/>
  <c r="E54" i="1"/>
  <c r="J55" i="1" l="1"/>
  <c r="E55" i="1"/>
  <c r="J56" i="1" l="1"/>
  <c r="E56" i="1"/>
  <c r="J57" i="1" l="1"/>
  <c r="E57" i="1"/>
  <c r="J58" i="1" l="1"/>
  <c r="J59" i="1" l="1"/>
  <c r="E59" i="1"/>
  <c r="J60" i="1" l="1"/>
  <c r="E60" i="1"/>
  <c r="J61" i="1" l="1"/>
  <c r="E63" i="1" s="1"/>
  <c r="E61" i="1"/>
  <c r="J62" i="1" l="1"/>
  <c r="E62" i="1"/>
  <c r="J64" i="1" l="1"/>
  <c r="E64" i="1"/>
  <c r="J65" i="1" l="1"/>
  <c r="E65" i="1"/>
  <c r="J66" i="1" l="1"/>
  <c r="E66" i="1"/>
  <c r="J67" i="1" l="1"/>
  <c r="E67" i="1"/>
  <c r="J68" i="1" l="1"/>
  <c r="E68" i="1"/>
  <c r="J69" i="1" l="1"/>
  <c r="E69" i="1"/>
  <c r="J70" i="1" l="1"/>
  <c r="E70" i="1"/>
  <c r="J71" i="1" l="1"/>
  <c r="E71" i="1"/>
  <c r="J72" i="1" l="1"/>
  <c r="E72" i="1"/>
  <c r="J73" i="1" l="1"/>
  <c r="E73" i="1"/>
  <c r="J74" i="1" l="1"/>
  <c r="E74" i="1"/>
  <c r="J75" i="1" l="1"/>
  <c r="E75" i="1"/>
  <c r="J76" i="1" l="1"/>
  <c r="E76" i="1"/>
  <c r="J77" i="1" l="1"/>
  <c r="E77" i="1"/>
  <c r="J78" i="1" l="1"/>
  <c r="E78" i="1"/>
  <c r="J79" i="1" l="1"/>
  <c r="E79" i="1"/>
  <c r="J80" i="1" l="1"/>
  <c r="E80" i="1"/>
  <c r="J81" i="1" l="1"/>
  <c r="E81" i="1"/>
  <c r="J82" i="1" l="1"/>
  <c r="E82" i="1"/>
  <c r="J83" i="1" l="1"/>
  <c r="E83" i="1"/>
  <c r="J84" i="1" l="1"/>
  <c r="E84" i="1"/>
  <c r="J85" i="1" l="1"/>
  <c r="E85" i="1"/>
  <c r="J86" i="1" l="1"/>
  <c r="E86" i="1"/>
  <c r="J87" i="1" l="1"/>
  <c r="E87" i="1"/>
  <c r="J88" i="1" l="1"/>
  <c r="E88" i="1"/>
  <c r="J89" i="1" l="1"/>
  <c r="E89" i="1"/>
  <c r="J90" i="1" l="1"/>
  <c r="E90" i="1"/>
  <c r="J91" i="1" l="1"/>
  <c r="E91" i="1"/>
  <c r="J92" i="1" l="1"/>
  <c r="J93" i="1" l="1"/>
  <c r="E93" i="1"/>
  <c r="J94" i="1" l="1"/>
  <c r="E94" i="1"/>
  <c r="J95" i="1" l="1"/>
  <c r="E95" i="1"/>
  <c r="J96" i="1" l="1"/>
  <c r="J97" i="1" s="1"/>
  <c r="E96" i="1"/>
  <c r="J98" i="1" l="1"/>
  <c r="E98" i="1"/>
  <c r="E99" i="1" l="1"/>
  <c r="J99" i="1"/>
  <c r="J100" i="1" l="1"/>
  <c r="E100" i="1"/>
  <c r="J101" i="1" l="1"/>
  <c r="J102" i="1" s="1"/>
  <c r="J103" i="1" s="1"/>
  <c r="J104" i="1" s="1"/>
  <c r="J105" i="1" l="1"/>
  <c r="E105" i="1"/>
  <c r="J106" i="1" l="1"/>
  <c r="E106" i="1"/>
  <c r="J107" i="1" l="1"/>
  <c r="E107" i="1"/>
  <c r="J108" i="1" l="1"/>
  <c r="E108" i="1"/>
  <c r="J109" i="1" l="1"/>
  <c r="E109" i="1"/>
  <c r="J110" i="1" l="1"/>
  <c r="E110" i="1"/>
  <c r="J111" i="1" l="1"/>
  <c r="E112" i="1" s="1"/>
  <c r="J112" i="1" l="1"/>
  <c r="J113" i="1"/>
  <c r="E113" i="1"/>
  <c r="J114" i="1" l="1"/>
  <c r="E114" i="1"/>
  <c r="J115" i="1" l="1"/>
  <c r="E115" i="1"/>
  <c r="J116" i="1" l="1"/>
  <c r="E116" i="1"/>
  <c r="J117" i="1" l="1"/>
  <c r="E117" i="1"/>
  <c r="J118" i="1" l="1"/>
  <c r="E118" i="1"/>
  <c r="J119" i="1" l="1"/>
  <c r="E119" i="1"/>
  <c r="J120" i="1" l="1"/>
  <c r="E120" i="1"/>
  <c r="J121" i="1" l="1"/>
  <c r="E121" i="1"/>
  <c r="J122" i="1" l="1"/>
  <c r="E122" i="1"/>
  <c r="J123" i="1" l="1"/>
  <c r="E123" i="1"/>
  <c r="J124" i="1" l="1"/>
  <c r="E124" i="1"/>
  <c r="J125" i="1" l="1"/>
  <c r="E125" i="1"/>
  <c r="J126" i="1" l="1"/>
  <c r="E126" i="1"/>
  <c r="J127" i="1" l="1"/>
  <c r="E127" i="1"/>
  <c r="J128" i="1" l="1"/>
  <c r="E128" i="1"/>
  <c r="J129" i="1" l="1"/>
  <c r="E129" i="1"/>
  <c r="J130" i="1" l="1"/>
  <c r="E130" i="1"/>
  <c r="J131" i="1" l="1"/>
  <c r="E131" i="1"/>
  <c r="J132" i="1" l="1"/>
  <c r="E132" i="1"/>
  <c r="J133" i="1" l="1"/>
  <c r="E133" i="1"/>
  <c r="J134" i="1" l="1"/>
  <c r="E134" i="1"/>
  <c r="J135" i="1" l="1"/>
  <c r="E135" i="1"/>
  <c r="J136" i="1" l="1"/>
  <c r="E136" i="1"/>
  <c r="J137" i="1" l="1"/>
  <c r="E137" i="1"/>
  <c r="J138" i="1" l="1"/>
  <c r="E138" i="1"/>
  <c r="J139" i="1" l="1"/>
  <c r="E139" i="1"/>
  <c r="J140" i="1" l="1"/>
  <c r="E140" i="1"/>
  <c r="J141" i="1" l="1"/>
  <c r="E141" i="1"/>
  <c r="J142" i="1" l="1"/>
  <c r="E142" i="1"/>
  <c r="J143" i="1" l="1"/>
  <c r="E143" i="1"/>
  <c r="J144" i="1" l="1"/>
  <c r="E144" i="1"/>
  <c r="J145" i="1" l="1"/>
  <c r="E145" i="1"/>
  <c r="J146" i="1" l="1"/>
  <c r="E146" i="1"/>
  <c r="J147" i="1" l="1"/>
  <c r="E147" i="1"/>
  <c r="J148" i="1" l="1"/>
  <c r="E148" i="1"/>
  <c r="J149" i="1" l="1"/>
  <c r="E149" i="1"/>
  <c r="J150" i="1" l="1"/>
  <c r="E150" i="1"/>
  <c r="J151" i="1" l="1"/>
  <c r="E151" i="1"/>
  <c r="J152" i="1" l="1"/>
  <c r="E152" i="1"/>
  <c r="J153" i="1" l="1"/>
  <c r="E153" i="1"/>
  <c r="J154" i="1" l="1"/>
  <c r="E154" i="1"/>
  <c r="J155" i="1" l="1"/>
  <c r="E155" i="1"/>
  <c r="J156" i="1" l="1"/>
  <c r="E156" i="1"/>
  <c r="J157" i="1" l="1"/>
  <c r="E157" i="1"/>
  <c r="J158" i="1" l="1"/>
  <c r="E158" i="1"/>
  <c r="J159" i="1" l="1"/>
  <c r="J160" i="1" s="1"/>
  <c r="E159" i="1"/>
  <c r="J197" i="1" l="1"/>
  <c r="E197" i="1"/>
  <c r="J198" i="1" l="1"/>
  <c r="E198" i="1"/>
  <c r="J199" i="1" l="1"/>
  <c r="E199" i="1"/>
  <c r="J200" i="1" l="1"/>
  <c r="J201" i="1" s="1"/>
  <c r="J202" i="1" s="1"/>
  <c r="E200" i="1"/>
  <c r="J203" i="1" l="1"/>
  <c r="E203" i="1"/>
  <c r="J204" i="1" l="1"/>
  <c r="E204" i="1"/>
  <c r="J205" i="1" l="1"/>
  <c r="E205" i="1"/>
  <c r="J206" i="1" l="1"/>
  <c r="E206" i="1"/>
  <c r="J207" i="1" l="1"/>
  <c r="E207" i="1"/>
  <c r="J208" i="1" l="1"/>
  <c r="E208" i="1"/>
  <c r="J209" i="1" l="1"/>
  <c r="E209" i="1"/>
  <c r="J210" i="1" l="1"/>
  <c r="E210" i="1"/>
  <c r="J211" i="1" l="1"/>
  <c r="E211" i="1"/>
  <c r="J212" i="1" l="1"/>
  <c r="E212" i="1"/>
  <c r="J213" i="1" l="1"/>
  <c r="E213" i="1"/>
  <c r="J214" i="1" l="1"/>
  <c r="E214" i="1"/>
  <c r="J215" i="1" l="1"/>
  <c r="E215" i="1"/>
  <c r="J216" i="1" l="1"/>
  <c r="E216" i="1"/>
  <c r="J217" i="1" l="1"/>
  <c r="J218" i="1" s="1"/>
  <c r="J219" i="1" s="1"/>
  <c r="E217" i="1"/>
  <c r="J220" i="1" l="1"/>
  <c r="E220" i="1"/>
  <c r="J221" i="1" l="1"/>
  <c r="J222" i="1" s="1"/>
  <c r="J223" i="1" s="1"/>
  <c r="E221" i="1"/>
</calcChain>
</file>

<file path=xl/sharedStrings.xml><?xml version="1.0" encoding="utf-8"?>
<sst xmlns="http://schemas.openxmlformats.org/spreadsheetml/2006/main" count="700" uniqueCount="227">
  <si>
    <t xml:space="preserve">DAFTAR WARGA </t>
  </si>
  <si>
    <t>DUKUHAN NAYU RT 01 RW 21 BANJARSARI BANJARSARI SURAKARTA</t>
  </si>
  <si>
    <t>PER SEPTEMBER 2021</t>
  </si>
  <si>
    <t xml:space="preserve">WARGA BERDOMISILI SETEMPAT KK RT 01 RW 21 BANJARSARI </t>
  </si>
  <si>
    <t>NO</t>
  </si>
  <si>
    <t>NAMA LENGKAP</t>
  </si>
  <si>
    <t>TGL LAHIR</t>
  </si>
  <si>
    <t>USIA</t>
  </si>
  <si>
    <t>JENIS KELAMIN</t>
  </si>
  <si>
    <t xml:space="preserve">STATUS </t>
  </si>
  <si>
    <t>JML</t>
  </si>
  <si>
    <t>Column8</t>
  </si>
  <si>
    <t>KK</t>
  </si>
  <si>
    <t>DOMISILI</t>
  </si>
  <si>
    <t>CAHYA DARMOKO, S.T.</t>
  </si>
  <si>
    <t>L</t>
  </si>
  <si>
    <t>SARASWATI KARTIKASARI,S.Pd, M.Pd</t>
  </si>
  <si>
    <t>P</t>
  </si>
  <si>
    <t>ISTRI</t>
  </si>
  <si>
    <t>RASHIDA RASYA DARMOKO</t>
  </si>
  <si>
    <t>ANAK</t>
  </si>
  <si>
    <t>PARTI</t>
  </si>
  <si>
    <t>PAIDI</t>
  </si>
  <si>
    <t>HARYANI</t>
  </si>
  <si>
    <t>RAHMAT APRIYANTO</t>
  </si>
  <si>
    <t>TAUFIQ RIYADI</t>
  </si>
  <si>
    <t>YUSUF KURNIAWAN</t>
  </si>
  <si>
    <t>SUHARNO, ST</t>
  </si>
  <si>
    <t>DARYATI</t>
  </si>
  <si>
    <t>ANAS ARSYAD RASYID</t>
  </si>
  <si>
    <t>ALFARIZQI ZEESHAN RASYID</t>
  </si>
  <si>
    <t>DARMI</t>
  </si>
  <si>
    <t>SUDARMAN</t>
  </si>
  <si>
    <t>SUGENG RAHAYU</t>
  </si>
  <si>
    <t>RINI BUDI ASTUTI</t>
  </si>
  <si>
    <t xml:space="preserve">SUPARNO </t>
  </si>
  <si>
    <t>PUTRI HENDRAWATI</t>
  </si>
  <si>
    <t>sarni</t>
  </si>
  <si>
    <t>FITRIANA WULNDARI</t>
  </si>
  <si>
    <t>DANISSA RARAS PUTRI</t>
  </si>
  <si>
    <t>SURATMIN</t>
  </si>
  <si>
    <t>SRI SAMIYATI</t>
  </si>
  <si>
    <t>MUH DANDI SETIAWAN</t>
  </si>
  <si>
    <t>SAIMIN</t>
  </si>
  <si>
    <t>SARNI</t>
  </si>
  <si>
    <t>YUDI ANANTO</t>
  </si>
  <si>
    <t>NOVITRI HANDAYANI</t>
  </si>
  <si>
    <t>SHAHIA KAYLA YOVIE</t>
  </si>
  <si>
    <t>SUMEDI ARI WIBOWO, AMa</t>
  </si>
  <si>
    <t>ADIK MINAWATI</t>
  </si>
  <si>
    <t>AZZAH YUMNA NADIVA WIBOWO</t>
  </si>
  <si>
    <t>AYSHA DZAHIN MEDINA WIBOWO</t>
  </si>
  <si>
    <t>SILVANUS RUDI TRIYONO</t>
  </si>
  <si>
    <t>MARTA SUMARIYANI</t>
  </si>
  <si>
    <t>LANANG GALIH PRAYOGA</t>
  </si>
  <si>
    <t>RANI AGUSTINA</t>
  </si>
  <si>
    <t>RAFARDHAN BIMATAMA PRAYOGA</t>
  </si>
  <si>
    <t>HARTUTIK</t>
  </si>
  <si>
    <t>4\</t>
  </si>
  <si>
    <t>RIFKI MURTADHO</t>
  </si>
  <si>
    <t>RIFKA HUSNA AMALIA</t>
  </si>
  <si>
    <t>MEILIA AYU RAHMAWATI</t>
  </si>
  <si>
    <t>SURADI</t>
  </si>
  <si>
    <t>SUKAMI</t>
  </si>
  <si>
    <t>KIFDIA RISKI SETIAWAN</t>
  </si>
  <si>
    <t>KETRIN RIEKE SILVIANA</t>
  </si>
  <si>
    <t>MADIYO</t>
  </si>
  <si>
    <t>ISWANTO</t>
  </si>
  <si>
    <t>K</t>
  </si>
  <si>
    <t>APRILINA JAMAICA SURYANINGSIH</t>
  </si>
  <si>
    <t>WARSIMAN</t>
  </si>
  <si>
    <t>PUTU PRATAMA PANGESTU GUSTI</t>
  </si>
  <si>
    <t>ELRICO DWIKY PUTRA PANGESTU</t>
  </si>
  <si>
    <t>WARSINEM</t>
  </si>
  <si>
    <t>ORANG TUA</t>
  </si>
  <si>
    <t>SRI LESTARI</t>
  </si>
  <si>
    <t>PUTRI OCTAVIANA</t>
  </si>
  <si>
    <t>NOEL SILOAM</t>
  </si>
  <si>
    <t>TRI SAPTO PAMUNGKAS , S.Sos</t>
  </si>
  <si>
    <t>SITI ZULAICHA, Amd.</t>
  </si>
  <si>
    <t>RAISSA NEILAJASMINE PUTRI ZAISA</t>
  </si>
  <si>
    <t>FILIA AYDIN NAURA PUTRI ZAISA</t>
  </si>
  <si>
    <t>RAZIQ ABDILLAH ASKA PUTRA ZAISA</t>
  </si>
  <si>
    <t>WAHYUDI TAUFAN SANTOSO</t>
  </si>
  <si>
    <t>FAMILI LAIN</t>
  </si>
  <si>
    <t>MIMINAMINEM</t>
  </si>
  <si>
    <t>RIZAL ADHETYA KURNIAWAN</t>
  </si>
  <si>
    <t>SURATI</t>
  </si>
  <si>
    <t xml:space="preserve">TUTIK SURYANTI KADARSIH </t>
  </si>
  <si>
    <t>NGATIMAN</t>
  </si>
  <si>
    <t>ISMIATUN</t>
  </si>
  <si>
    <t>NGATINEM</t>
  </si>
  <si>
    <t>ORTU</t>
  </si>
  <si>
    <t>BAMBANG SURYADI</t>
  </si>
  <si>
    <t>YESICA SARI SURYANINGRUM</t>
  </si>
  <si>
    <t>RIYALDI KRISNA PUTRA PAMUNGKAS</t>
  </si>
  <si>
    <t>25-09-1959</t>
  </si>
  <si>
    <t>05-05-1966</t>
  </si>
  <si>
    <t>ALDY FARIZ ACHSANTA</t>
  </si>
  <si>
    <t>SITI SUSILO HAPSARI</t>
  </si>
  <si>
    <t>RIZAL AKBAR ALDYAN</t>
  </si>
  <si>
    <t>ELVITA PUSPA ALDYNA</t>
  </si>
  <si>
    <t>KATIMO, S.Pd., M.Pd.</t>
  </si>
  <si>
    <t>TUTI SUSILOWATI</t>
  </si>
  <si>
    <t>PARMINI</t>
  </si>
  <si>
    <t>MIKO PUTRA BAGASKARA</t>
  </si>
  <si>
    <t>BOGGY MUKTI SANJAYA</t>
  </si>
  <si>
    <t>TITIN MASTUROH HENDI</t>
  </si>
  <si>
    <t>H. BAMBANG SUGIYANTO</t>
  </si>
  <si>
    <t>MARYATI</t>
  </si>
  <si>
    <t>MUJAHIDIN, SH</t>
  </si>
  <si>
    <t>TRI WULANDARI</t>
  </si>
  <si>
    <t>MUH RIFQI HANIF AL KAUSAR</t>
  </si>
  <si>
    <t>ADYA MUTIARA AR ROHMAH</t>
  </si>
  <si>
    <t>MAYA PUTRI INDRAYANI</t>
  </si>
  <si>
    <t xml:space="preserve">ABDEERY PRIMA OKTAVIANTO </t>
  </si>
  <si>
    <t>MOREENDA ARLA PRIMARISA</t>
  </si>
  <si>
    <t>DARWIN BONAVENTURA BLANDINO</t>
  </si>
  <si>
    <t>LETICIA FREYA SURYAPUTRI</t>
  </si>
  <si>
    <t>YOAS SUROTO DW</t>
  </si>
  <si>
    <t>RM ADHITYA JATI TAMA</t>
  </si>
  <si>
    <t>LITA ANGRESARI</t>
  </si>
  <si>
    <t>MAHARDIKA GRESTAMA</t>
  </si>
  <si>
    <t>MUDIARTI</t>
  </si>
  <si>
    <t>FAJAR AZIS MURTADHO</t>
  </si>
  <si>
    <t>ASIH PUJIWARDHANI</t>
  </si>
  <si>
    <t>FARHAN NUR RAMADAN</t>
  </si>
  <si>
    <t>NAZHIFAH AMANDA KHAIRUNNISA</t>
  </si>
  <si>
    <t xml:space="preserve">AQILA AZAHRA HUMAIRA </t>
  </si>
  <si>
    <t xml:space="preserve">YADI </t>
  </si>
  <si>
    <t>SITI SUNARNI</t>
  </si>
  <si>
    <t>WAKIJO</t>
  </si>
  <si>
    <t>SUMIYEM</t>
  </si>
  <si>
    <t>WARSITO</t>
  </si>
  <si>
    <t>ASRI WULANDARI</t>
  </si>
  <si>
    <t>PRAMUDITA PRATIWI</t>
  </si>
  <si>
    <t>ZIKRI AKBAR HAMIZAN</t>
  </si>
  <si>
    <t>LEOMADHA RONALD EKAPUTA</t>
  </si>
  <si>
    <t>IBNU CHOIRUL AL MUSTAQIM</t>
  </si>
  <si>
    <t>SUKINO</t>
  </si>
  <si>
    <t>ANIK SETYORINI</t>
  </si>
  <si>
    <t>MUH DEDEX PRATAMA</t>
  </si>
  <si>
    <t>WARNI</t>
  </si>
  <si>
    <t>AGUNG SEDAYU</t>
  </si>
  <si>
    <t>HARTATI</t>
  </si>
  <si>
    <t>JUBRAN LINTANG LAHIRI</t>
  </si>
  <si>
    <t>AFNAN WOHING MANAH</t>
  </si>
  <si>
    <t>SUMARYONO</t>
  </si>
  <si>
    <t>ISMIRAH</t>
  </si>
  <si>
    <t>TRIMARSONO</t>
  </si>
  <si>
    <t>ROMAD NUR WIYONO</t>
  </si>
  <si>
    <t>SUSILOWATI PRIHATIN</t>
  </si>
  <si>
    <t xml:space="preserve">PUTRA RAMA NUR SETIAWAN </t>
  </si>
  <si>
    <t>BARA RAZKA NUR SETIAWAN</t>
  </si>
  <si>
    <t xml:space="preserve">SRI WIDODO/ LUGIYO </t>
  </si>
  <si>
    <t>DANI SAPUTRO</t>
  </si>
  <si>
    <t>SUTINAH</t>
  </si>
  <si>
    <t>INA RAHMATIKA MUSTAQIM</t>
  </si>
  <si>
    <t>MUSTOFA FIRDAUS</t>
  </si>
  <si>
    <t>JAKA PRIHATIN</t>
  </si>
  <si>
    <t>DINDA CHOIRUNISSA</t>
  </si>
  <si>
    <t>SRI KUSWANTI</t>
  </si>
  <si>
    <t>WAHYUNI</t>
  </si>
  <si>
    <t>AGUS SUPRIYOKO</t>
  </si>
  <si>
    <t>ANNISAWATI MUKARROMAH</t>
  </si>
  <si>
    <t>MOHAMMAD RIDWAN</t>
  </si>
  <si>
    <t>30-06-1990</t>
  </si>
  <si>
    <t>RAMURIS PRISMAWATI</t>
  </si>
  <si>
    <t>AGUS RIYANTO</t>
  </si>
  <si>
    <t>TRI SARWINI</t>
  </si>
  <si>
    <t>SADRAH SUMARIYARSO</t>
  </si>
  <si>
    <t>MARGARETHA ARNITA WURI,S.Si</t>
  </si>
  <si>
    <t>AGUS TRIWAHONO</t>
  </si>
  <si>
    <t>ANIK RIYANTI</t>
  </si>
  <si>
    <t>DANIEL PUTRA WAHANA</t>
  </si>
  <si>
    <t>AWAN WIDYANTO</t>
  </si>
  <si>
    <t>NABILA FILDZA SIXNATORA</t>
  </si>
  <si>
    <t>A'SAKOFI YUSA ROMADHONI MUNANDAR</t>
  </si>
  <si>
    <t>29-04-1988</t>
  </si>
  <si>
    <t xml:space="preserve">INTAN WULAN ANISA FITRA </t>
  </si>
  <si>
    <t>19-04-1990</t>
  </si>
  <si>
    <t>EMO SUSANTO HANDAYONO</t>
  </si>
  <si>
    <t>29-12-1977</t>
  </si>
  <si>
    <t xml:space="preserve">LINDA KUSUMAWATI </t>
  </si>
  <si>
    <t>27-02-1980</t>
  </si>
  <si>
    <t>DANIEL SAPUTRA</t>
  </si>
  <si>
    <t>IPIK JOKO APRIYANTO</t>
  </si>
  <si>
    <t>ARIYANI</t>
  </si>
  <si>
    <t>DWIKI RAHMAD ARIYANTO</t>
  </si>
  <si>
    <t>DEHBIMA ZICO ALFARO</t>
  </si>
  <si>
    <t>YOGA AKBARRIYANTO</t>
  </si>
  <si>
    <t>ALFIRA PUTRI HERAWATI</t>
  </si>
  <si>
    <t>AGUS SANTOSO</t>
  </si>
  <si>
    <t>MURSIANI TRIYONO</t>
  </si>
  <si>
    <t>CHRISTA KURNIAWATI WIBOWO</t>
  </si>
  <si>
    <t>IVAN KURNIAWAN</t>
  </si>
  <si>
    <t>VANIE HARLIANTI BUNJAMIN</t>
  </si>
  <si>
    <t>JUVENTA COLUNIA SAPUTRA</t>
  </si>
  <si>
    <t>OKTAMA EKA SAPUTRA</t>
  </si>
  <si>
    <t>DANI SULISTYONINGSIH</t>
  </si>
  <si>
    <t>ADZIKA NAUREEN KHAYLILA</t>
  </si>
  <si>
    <t>AZKA VIRENDRA ALHUSAIN</t>
  </si>
  <si>
    <t>Ir. ALMUNAWAR, M.Si</t>
  </si>
  <si>
    <t>Ir. DEWI HADIYANI M.Kes</t>
  </si>
  <si>
    <t>ALDY FARIZ ACHSANTA,SE</t>
  </si>
  <si>
    <t>ALYSSA SOFIE ACHSANTA</t>
  </si>
  <si>
    <t>AL AZZAM EGAS GAJENDRA</t>
  </si>
  <si>
    <t>MAKALA SHEZA GAZALA</t>
  </si>
  <si>
    <t>BRIAN FERNANDO SETYO BINTORO</t>
  </si>
  <si>
    <t>ANIKRISTINAWATI</t>
  </si>
  <si>
    <t>DEIANIRA NARESWARI FERNANDO</t>
  </si>
  <si>
    <t>AMAZEA TUNGGADEWI FERNANDO</t>
  </si>
  <si>
    <t>DEKI HARTONO</t>
  </si>
  <si>
    <t>ANDHIKA RESTU PROKOSO</t>
  </si>
  <si>
    <t>ALEYSIA ANANTA PUTRI HARTONO</t>
  </si>
  <si>
    <t>RAFAEL EGA GILCHRIST</t>
  </si>
  <si>
    <t>NINDYA APRILIA</t>
  </si>
  <si>
    <t>MICHAEL ZIONATHAN GILCHRIST</t>
  </si>
  <si>
    <t>CINTA PUTRI IMMANUEL</t>
  </si>
  <si>
    <t>KEVIN LI EMANUEL</t>
  </si>
  <si>
    <t>AZFER ALHANAN WIBOWO</t>
  </si>
  <si>
    <t>ROHMAT ROI WALDI</t>
  </si>
  <si>
    <t>INA RAHMATIKA MUSTAKIM</t>
  </si>
  <si>
    <t>NAJMA YASMIN FALILAH</t>
  </si>
  <si>
    <t>SEPTIAN ABI WINANTO</t>
  </si>
  <si>
    <t>AAS SEPTI HAPSARI</t>
  </si>
  <si>
    <t>SHANAYA NAESWARI WINANTO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</si>
</sst>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yy;@"/>
  </numFmts>
  <fonts count="5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dashed">
        <color auto="1"/>
      </right>
      <top style="double">
        <color indexed="64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indexed="64"/>
      </top>
      <bottom style="double">
        <color auto="1"/>
      </bottom>
      <diagonal/>
    </border>
    <border>
      <left style="dashed">
        <color auto="1"/>
      </left>
      <right/>
      <top style="double">
        <color indexed="64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 style="double">
        <color auto="1"/>
      </right>
      <top/>
      <bottom style="dashed">
        <color auto="1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164" fontId="3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/>
    <xf numFmtId="14" fontId="3" fillId="0" borderId="1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14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/>
    <xf numFmtId="14" fontId="3" fillId="0" borderId="17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/>
    <xf numFmtId="14" fontId="3" fillId="0" borderId="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/>
    <xf numFmtId="14" fontId="3" fillId="0" borderId="20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/>
    <xf numFmtId="14" fontId="3" fillId="0" borderId="23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 shrinkToFit="1"/>
    </xf>
    <xf numFmtId="49" fontId="3" fillId="0" borderId="8" xfId="0" applyNumberFormat="1" applyFont="1" applyBorder="1" applyAlignment="1">
      <alignment horizontal="center" vertical="center" shrinkToFit="1"/>
    </xf>
    <xf numFmtId="49" fontId="3" fillId="0" borderId="14" xfId="0" applyNumberFormat="1" applyFont="1" applyBorder="1" applyAlignment="1">
      <alignment vertical="center" shrinkToFit="1"/>
    </xf>
    <xf numFmtId="49" fontId="3" fillId="0" borderId="14" xfId="0" applyNumberFormat="1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14" fontId="3" fillId="0" borderId="9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32" xfId="0" applyFont="1" applyBorder="1"/>
    <xf numFmtId="0" fontId="3" fillId="0" borderId="34" xfId="0" applyFont="1" applyBorder="1"/>
    <xf numFmtId="0" fontId="3" fillId="0" borderId="36" xfId="0" applyFont="1" applyBorder="1"/>
    <xf numFmtId="0" fontId="3" fillId="0" borderId="38" xfId="0" applyFont="1" applyBorder="1"/>
    <xf numFmtId="49" fontId="3" fillId="0" borderId="40" xfId="0" applyNumberFormat="1" applyFont="1" applyBorder="1" applyAlignment="1">
      <alignment vertical="center" shrinkToFit="1"/>
    </xf>
    <xf numFmtId="49" fontId="3" fillId="0" borderId="40" xfId="0" applyNumberFormat="1" applyFont="1" applyBorder="1" applyAlignment="1">
      <alignment horizontal="center" vertical="center" shrinkToFit="1"/>
    </xf>
    <xf numFmtId="0" fontId="3" fillId="0" borderId="41" xfId="0" applyFont="1" applyBorder="1"/>
    <xf numFmtId="1" fontId="3" fillId="0" borderId="43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3" fillId="0" borderId="33" xfId="0" applyFont="1" applyBorder="1"/>
    <xf numFmtId="49" fontId="3" fillId="0" borderId="11" xfId="0" applyNumberFormat="1" applyFont="1" applyBorder="1" applyAlignment="1">
      <alignment vertical="center" shrinkToFit="1"/>
    </xf>
    <xf numFmtId="49" fontId="3" fillId="0" borderId="11" xfId="0" applyNumberFormat="1" applyFont="1" applyBorder="1" applyAlignment="1">
      <alignment horizontal="center" vertical="center" shrinkToFit="1"/>
    </xf>
    <xf numFmtId="0" fontId="0" fillId="0" borderId="36" xfId="0" applyBorder="1"/>
    <xf numFmtId="0" fontId="0" fillId="0" borderId="34" xfId="0" applyBorder="1"/>
    <xf numFmtId="49" fontId="3" fillId="0" borderId="8" xfId="0" applyNumberFormat="1" applyFont="1" applyBorder="1" applyAlignment="1">
      <alignment horizontal="left" vertical="center" shrinkToFit="1"/>
    </xf>
    <xf numFmtId="0" fontId="0" fillId="0" borderId="32" xfId="0" applyBorder="1"/>
    <xf numFmtId="49" fontId="1" fillId="0" borderId="11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14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/>
    <xf numFmtId="14" fontId="3" fillId="0" borderId="50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/>
    <xf numFmtId="14" fontId="3" fillId="0" borderId="54" xfId="0" applyNumberFormat="1" applyFont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3" xfId="0" applyFont="1" applyBorder="1"/>
    <xf numFmtId="14" fontId="3" fillId="0" borderId="53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/>
    <xf numFmtId="14" fontId="3" fillId="0" borderId="56" xfId="0" applyNumberFormat="1" applyFont="1" applyBorder="1" applyAlignment="1">
      <alignment horizontal="center" vertical="center"/>
    </xf>
    <xf numFmtId="1" fontId="3" fillId="0" borderId="56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/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/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/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/>
    <xf numFmtId="14" fontId="3" fillId="0" borderId="65" xfId="0" applyNumberFormat="1" applyFont="1" applyBorder="1" applyAlignment="1">
      <alignment horizontal="center" vertical="center"/>
    </xf>
    <xf numFmtId="1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/>
    <xf numFmtId="14" fontId="3" fillId="0" borderId="66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>
        <left style="dashed">
          <color indexed="64"/>
        </left>
        <right/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ashed">
          <color indexed="64"/>
        </right>
        <top style="dashed">
          <color indexed="64"/>
        </top>
        <bottom style="double">
          <color indexed="64"/>
        </bottom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auto="1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7:I159" totalsRowShown="0" headerRowDxfId="8" tableBorderDxfId="7">
  <autoFilter ref="B7:I159"/>
  <tableColumns count="8">
    <tableColumn id="1" name="NO" dataDxfId="6"/>
    <tableColumn id="2" name="NAMA LENGKAP" dataDxfId="5"/>
    <tableColumn id="3" name="TGL LAHIR" dataDxfId="4"/>
    <tableColumn id="4" name="USIA" dataDxfId="3">
      <calculatedColumnFormula>INT((J7-D8))/365</calculatedColumnFormula>
    </tableColumn>
    <tableColumn id="5" name="JENIS KELAMIN" dataDxfId="2"/>
    <tableColumn id="6" name="STATUS " dataDxfId="1"/>
    <tableColumn id="7" name="JML"/>
    <tableColumn id="8" name="Column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25"/>
  <sheetViews>
    <sheetView tabSelected="1" topLeftCell="A208" workbookViewId="0">
      <selection activeCell="A222" sqref="A222"/>
    </sheetView>
  </sheetViews>
  <sheetFormatPr defaultRowHeight="13.8"/>
  <cols>
    <col min="2" max="2" width="11.59765625" customWidth="1"/>
    <col min="3" max="3" width="44.69921875" bestFit="1" customWidth="1"/>
    <col min="4" max="4" width="13.09765625" bestFit="1" customWidth="1"/>
    <col min="5" max="5" width="11.59765625" customWidth="1"/>
    <col min="6" max="6" width="11.69921875" bestFit="1" customWidth="1"/>
    <col min="7" max="7" width="17.8984375" bestFit="1" customWidth="1"/>
    <col min="8" max="8" width="17.8984375" customWidth="1"/>
    <col min="9" max="9" width="26.59765625" customWidth="1"/>
    <col min="10" max="10" width="11.296875" bestFit="1" customWidth="1"/>
    <col min="14" max="14" width="11.296875" bestFit="1" customWidth="1"/>
  </cols>
  <sheetData>
    <row r="2" spans="1:14">
      <c r="B2" s="95" t="s">
        <v>0</v>
      </c>
      <c r="C2" s="95"/>
      <c r="D2" s="95"/>
      <c r="E2" s="95"/>
      <c r="F2" s="95"/>
      <c r="G2" s="95"/>
      <c r="H2" s="95"/>
      <c r="I2" s="95"/>
    </row>
    <row r="3" spans="1:14">
      <c r="B3" s="95" t="s">
        <v>1</v>
      </c>
      <c r="C3" s="95"/>
      <c r="D3" s="95"/>
      <c r="E3" s="95"/>
      <c r="F3" s="95"/>
      <c r="G3" s="95"/>
      <c r="H3" s="95"/>
      <c r="I3" s="95"/>
    </row>
    <row r="4" spans="1:14" ht="14.4" thickBot="1">
      <c r="B4" s="96" t="s">
        <v>2</v>
      </c>
      <c r="C4" s="96"/>
      <c r="D4" s="96"/>
      <c r="E4" s="96"/>
      <c r="F4" s="96"/>
      <c r="G4" s="96"/>
      <c r="H4" s="96"/>
      <c r="I4" s="96"/>
    </row>
    <row r="5" spans="1:14" ht="14.4" thickTop="1">
      <c r="B5" s="1"/>
      <c r="C5" s="1"/>
      <c r="D5" s="1"/>
      <c r="E5" s="1"/>
      <c r="F5" s="1"/>
      <c r="G5" s="1"/>
      <c r="H5" s="2"/>
      <c r="I5" s="2"/>
    </row>
    <row r="6" spans="1:14" ht="14.4" thickBot="1">
      <c r="B6" s="3" t="s">
        <v>3</v>
      </c>
      <c r="C6" s="4"/>
      <c r="D6" s="4"/>
      <c r="E6" s="5"/>
      <c r="F6" s="3"/>
      <c r="G6" s="3"/>
    </row>
    <row r="7" spans="1:14" ht="16.8" thickTop="1" thickBot="1">
      <c r="B7" s="6" t="s">
        <v>4</v>
      </c>
      <c r="C7" s="7" t="s">
        <v>5</v>
      </c>
      <c r="D7" s="8" t="s">
        <v>6</v>
      </c>
      <c r="E7" s="6" t="s">
        <v>7</v>
      </c>
      <c r="F7" s="8" t="s">
        <v>8</v>
      </c>
      <c r="G7" s="8" t="s">
        <v>9</v>
      </c>
      <c r="H7" s="8" t="s">
        <v>10</v>
      </c>
      <c r="I7" s="9" t="s">
        <v>11</v>
      </c>
      <c r="J7" s="10"/>
    </row>
    <row r="8" spans="1:14" ht="16.2" hidden="1" thickBot="1">
      <c r="B8" s="6"/>
      <c r="C8" s="7"/>
      <c r="D8" s="8"/>
      <c r="E8" s="6"/>
      <c r="F8" s="8"/>
      <c r="G8" s="8"/>
      <c r="H8" s="8"/>
      <c r="I8" s="9"/>
      <c r="J8" s="11">
        <v>44469</v>
      </c>
      <c r="L8" s="12" t="s">
        <v>12</v>
      </c>
      <c r="N8" s="12" t="s">
        <v>13</v>
      </c>
    </row>
    <row r="9" spans="1:14" ht="16.5" customHeight="1" thickTop="1">
      <c r="B9" s="13">
        <v>1</v>
      </c>
      <c r="C9" s="14" t="s">
        <v>14</v>
      </c>
      <c r="D9" s="15">
        <v>32868</v>
      </c>
      <c r="E9" s="16">
        <f t="shared" ref="E9:E74" si="0">INT((J8-D9))/365</f>
        <v>31.783561643835615</v>
      </c>
      <c r="F9" s="17" t="s">
        <v>15</v>
      </c>
      <c r="G9" s="17" t="s">
        <v>12</v>
      </c>
      <c r="H9" s="17">
        <v>3</v>
      </c>
      <c r="I9" s="18"/>
      <c r="J9" s="11">
        <v>44469</v>
      </c>
      <c r="L9" s="12"/>
      <c r="N9" s="12"/>
    </row>
    <row r="10" spans="1:14" ht="16.5" customHeight="1">
      <c r="B10" s="19"/>
      <c r="C10" s="20" t="s">
        <v>16</v>
      </c>
      <c r="D10" s="21">
        <v>30215</v>
      </c>
      <c r="E10" s="22">
        <f t="shared" si="0"/>
        <v>39.052054794520551</v>
      </c>
      <c r="F10" s="23" t="s">
        <v>17</v>
      </c>
      <c r="G10" s="23" t="s">
        <v>18</v>
      </c>
      <c r="H10" s="23"/>
      <c r="I10" s="24"/>
      <c r="J10" s="11">
        <f t="shared" ref="J10:J75" si="1">J9</f>
        <v>44469</v>
      </c>
      <c r="L10" s="12"/>
      <c r="N10" s="12"/>
    </row>
    <row r="11" spans="1:14" ht="16.5" customHeight="1" thickBot="1">
      <c r="B11" s="25"/>
      <c r="C11" s="26" t="s">
        <v>19</v>
      </c>
      <c r="D11" s="27">
        <v>43395</v>
      </c>
      <c r="E11" s="28">
        <f t="shared" si="0"/>
        <v>2.9424657534246577</v>
      </c>
      <c r="F11" s="29" t="s">
        <v>17</v>
      </c>
      <c r="G11" s="29" t="s">
        <v>20</v>
      </c>
      <c r="H11" s="29"/>
      <c r="I11" s="30"/>
      <c r="J11" s="11">
        <f t="shared" si="1"/>
        <v>44469</v>
      </c>
      <c r="L11" s="12"/>
      <c r="N11" s="12"/>
    </row>
    <row r="12" spans="1:14" ht="16.5" customHeight="1" thickTop="1" thickBot="1">
      <c r="A12">
        <v>1</v>
      </c>
      <c r="B12" s="31">
        <v>2</v>
      </c>
      <c r="C12" s="32" t="s">
        <v>21</v>
      </c>
      <c r="D12" s="33">
        <v>25734</v>
      </c>
      <c r="E12" s="34">
        <f t="shared" si="0"/>
        <v>51.328767123287669</v>
      </c>
      <c r="F12" s="35" t="s">
        <v>17</v>
      </c>
      <c r="G12" s="35" t="s">
        <v>12</v>
      </c>
      <c r="H12" s="35">
        <v>1</v>
      </c>
      <c r="I12" s="36"/>
      <c r="J12" s="11">
        <f t="shared" si="1"/>
        <v>44469</v>
      </c>
      <c r="L12" s="12" t="s">
        <v>12</v>
      </c>
      <c r="N12" s="12" t="s">
        <v>13</v>
      </c>
    </row>
    <row r="13" spans="1:14" ht="16.5" customHeight="1" thickTop="1">
      <c r="B13" s="13">
        <v>3</v>
      </c>
      <c r="C13" s="14" t="s">
        <v>22</v>
      </c>
      <c r="D13" s="37">
        <v>24843</v>
      </c>
      <c r="E13" s="16">
        <f t="shared" si="0"/>
        <v>53.769863013698632</v>
      </c>
      <c r="F13" s="17" t="s">
        <v>15</v>
      </c>
      <c r="G13" s="17" t="s">
        <v>12</v>
      </c>
      <c r="H13" s="17">
        <v>5</v>
      </c>
      <c r="I13" s="18"/>
      <c r="J13" s="11">
        <f t="shared" si="1"/>
        <v>44469</v>
      </c>
      <c r="L13" s="12"/>
      <c r="N13" s="12"/>
    </row>
    <row r="14" spans="1:14" ht="16.5" customHeight="1">
      <c r="B14" s="19"/>
      <c r="C14" s="20" t="s">
        <v>23</v>
      </c>
      <c r="D14" s="21">
        <v>25598</v>
      </c>
      <c r="E14" s="22">
        <f t="shared" si="0"/>
        <v>51.701369863013696</v>
      </c>
      <c r="F14" s="23" t="s">
        <v>17</v>
      </c>
      <c r="G14" s="23" t="s">
        <v>18</v>
      </c>
      <c r="H14" s="23"/>
      <c r="I14" s="24"/>
      <c r="J14" s="11">
        <f t="shared" si="1"/>
        <v>44469</v>
      </c>
      <c r="L14" s="12"/>
      <c r="N14" s="12"/>
    </row>
    <row r="15" spans="1:14" ht="16.5" customHeight="1">
      <c r="B15" s="19"/>
      <c r="C15" s="20" t="s">
        <v>24</v>
      </c>
      <c r="D15" s="21">
        <v>35541</v>
      </c>
      <c r="E15" s="22">
        <f t="shared" si="0"/>
        <v>24.460273972602739</v>
      </c>
      <c r="F15" s="23" t="s">
        <v>15</v>
      </c>
      <c r="G15" s="23" t="s">
        <v>20</v>
      </c>
      <c r="H15" s="23"/>
      <c r="I15" s="24">
        <v>3</v>
      </c>
      <c r="J15" s="11">
        <f t="shared" si="1"/>
        <v>44469</v>
      </c>
      <c r="L15" s="12"/>
      <c r="N15" s="12"/>
    </row>
    <row r="16" spans="1:14" ht="16.5" customHeight="1">
      <c r="B16" s="19"/>
      <c r="C16" s="20" t="s">
        <v>25</v>
      </c>
      <c r="D16" s="21">
        <v>37622</v>
      </c>
      <c r="E16" s="22">
        <f t="shared" si="0"/>
        <v>18.758904109589039</v>
      </c>
      <c r="F16" s="23" t="s">
        <v>15</v>
      </c>
      <c r="G16" s="23" t="s">
        <v>20</v>
      </c>
      <c r="H16" s="23"/>
      <c r="I16" s="24">
        <v>3</v>
      </c>
      <c r="J16" s="11">
        <f t="shared" si="1"/>
        <v>44469</v>
      </c>
      <c r="L16" s="12"/>
      <c r="N16" s="12"/>
    </row>
    <row r="17" spans="2:14" ht="16.5" customHeight="1" thickBot="1">
      <c r="B17" s="38"/>
      <c r="C17" s="39" t="s">
        <v>26</v>
      </c>
      <c r="D17" s="40">
        <v>41793</v>
      </c>
      <c r="E17" s="41">
        <f t="shared" si="0"/>
        <v>7.3315068493150681</v>
      </c>
      <c r="F17" s="42" t="s">
        <v>15</v>
      </c>
      <c r="G17" s="42" t="s">
        <v>20</v>
      </c>
      <c r="H17" s="42"/>
      <c r="I17" s="43"/>
      <c r="J17" s="11">
        <f t="shared" si="1"/>
        <v>44469</v>
      </c>
      <c r="L17" s="12" t="s">
        <v>12</v>
      </c>
      <c r="N17" s="12" t="s">
        <v>13</v>
      </c>
    </row>
    <row r="18" spans="2:14" ht="16.5" customHeight="1" thickTop="1">
      <c r="B18" s="13">
        <v>4</v>
      </c>
      <c r="C18" s="14" t="s">
        <v>27</v>
      </c>
      <c r="D18" s="37">
        <v>28633</v>
      </c>
      <c r="E18" s="16">
        <f t="shared" si="0"/>
        <v>43.386301369863013</v>
      </c>
      <c r="F18" s="17" t="s">
        <v>15</v>
      </c>
      <c r="G18" s="17" t="s">
        <v>12</v>
      </c>
      <c r="H18" s="17">
        <v>5</v>
      </c>
      <c r="I18" s="18"/>
      <c r="J18" s="11">
        <f t="shared" si="1"/>
        <v>44469</v>
      </c>
      <c r="L18" s="12"/>
      <c r="N18" s="12"/>
    </row>
    <row r="19" spans="2:14" ht="16.5" customHeight="1">
      <c r="B19" s="19"/>
      <c r="C19" s="20" t="s">
        <v>28</v>
      </c>
      <c r="D19" s="21">
        <v>30979</v>
      </c>
      <c r="E19" s="22">
        <f t="shared" si="0"/>
        <v>36.958904109589042</v>
      </c>
      <c r="F19" s="23" t="s">
        <v>17</v>
      </c>
      <c r="G19" s="23" t="s">
        <v>18</v>
      </c>
      <c r="H19" s="23"/>
      <c r="I19" s="24"/>
      <c r="J19" s="11">
        <f t="shared" si="1"/>
        <v>44469</v>
      </c>
      <c r="L19" s="12"/>
      <c r="N19" s="12"/>
    </row>
    <row r="20" spans="2:14" ht="16.5" customHeight="1">
      <c r="B20" s="19"/>
      <c r="C20" s="20" t="s">
        <v>29</v>
      </c>
      <c r="D20" s="21">
        <v>40024</v>
      </c>
      <c r="E20" s="22">
        <f t="shared" si="0"/>
        <v>12.178082191780822</v>
      </c>
      <c r="F20" s="23" t="s">
        <v>15</v>
      </c>
      <c r="G20" s="23" t="s">
        <v>20</v>
      </c>
      <c r="H20" s="23"/>
      <c r="I20" s="24"/>
      <c r="J20" s="11">
        <f t="shared" si="1"/>
        <v>44469</v>
      </c>
      <c r="L20" s="12"/>
      <c r="N20" s="12"/>
    </row>
    <row r="21" spans="2:14" ht="16.5" customHeight="1">
      <c r="B21" s="19"/>
      <c r="C21" s="20" t="s">
        <v>30</v>
      </c>
      <c r="D21" s="21">
        <v>43347</v>
      </c>
      <c r="E21" s="22">
        <f t="shared" si="0"/>
        <v>3.0739726027397261</v>
      </c>
      <c r="F21" s="23" t="s">
        <v>15</v>
      </c>
      <c r="G21" s="23" t="s">
        <v>20</v>
      </c>
      <c r="H21" s="23"/>
      <c r="I21" s="24"/>
      <c r="J21" s="11">
        <f t="shared" si="1"/>
        <v>44469</v>
      </c>
      <c r="L21" s="12"/>
      <c r="N21" s="12"/>
    </row>
    <row r="22" spans="2:14" ht="16.5" customHeight="1" thickBot="1">
      <c r="B22" s="25"/>
      <c r="C22" s="26" t="s">
        <v>31</v>
      </c>
      <c r="D22" s="27">
        <v>23097</v>
      </c>
      <c r="E22" s="28">
        <f t="shared" si="0"/>
        <v>58.553424657534244</v>
      </c>
      <c r="F22" s="29" t="s">
        <v>17</v>
      </c>
      <c r="G22" s="29" t="s">
        <v>20</v>
      </c>
      <c r="H22" s="29"/>
      <c r="I22" s="30"/>
      <c r="J22" s="11">
        <f t="shared" si="1"/>
        <v>44469</v>
      </c>
      <c r="L22" s="12" t="s">
        <v>12</v>
      </c>
      <c r="N22" s="12" t="s">
        <v>13</v>
      </c>
    </row>
    <row r="23" spans="2:14" ht="16.5" customHeight="1" thickTop="1">
      <c r="B23" s="13">
        <v>5</v>
      </c>
      <c r="C23" s="14" t="s">
        <v>32</v>
      </c>
      <c r="D23" s="37">
        <v>23828</v>
      </c>
      <c r="E23" s="16">
        <f t="shared" si="0"/>
        <v>56.550684931506851</v>
      </c>
      <c r="F23" s="17" t="s">
        <v>15</v>
      </c>
      <c r="G23" s="17" t="s">
        <v>12</v>
      </c>
      <c r="H23" s="17">
        <v>3</v>
      </c>
      <c r="I23" s="18"/>
      <c r="J23" s="11">
        <f t="shared" si="1"/>
        <v>44469</v>
      </c>
      <c r="L23" s="12"/>
      <c r="N23" s="12"/>
    </row>
    <row r="24" spans="2:14" ht="16.5" customHeight="1">
      <c r="B24" s="19"/>
      <c r="C24" s="20" t="s">
        <v>33</v>
      </c>
      <c r="D24" s="21">
        <v>26757</v>
      </c>
      <c r="E24" s="22">
        <f t="shared" si="0"/>
        <v>48.526027397260272</v>
      </c>
      <c r="F24" s="23" t="s">
        <v>17</v>
      </c>
      <c r="G24" s="23" t="s">
        <v>18</v>
      </c>
      <c r="H24" s="23"/>
      <c r="I24" s="24"/>
      <c r="J24" s="11">
        <f t="shared" si="1"/>
        <v>44469</v>
      </c>
      <c r="L24" s="12"/>
      <c r="N24" s="12"/>
    </row>
    <row r="25" spans="2:14" ht="16.5" customHeight="1" thickBot="1">
      <c r="B25" s="25"/>
      <c r="C25" s="26" t="s">
        <v>34</v>
      </c>
      <c r="D25" s="27">
        <v>34461</v>
      </c>
      <c r="E25" s="28">
        <f t="shared" si="0"/>
        <v>27.419178082191781</v>
      </c>
      <c r="F25" s="29" t="s">
        <v>17</v>
      </c>
      <c r="G25" s="29" t="s">
        <v>20</v>
      </c>
      <c r="H25" s="29"/>
      <c r="I25" s="30"/>
      <c r="J25" s="11">
        <f t="shared" si="1"/>
        <v>44469</v>
      </c>
      <c r="L25" s="12" t="s">
        <v>12</v>
      </c>
      <c r="N25" s="12" t="s">
        <v>13</v>
      </c>
    </row>
    <row r="26" spans="2:14" ht="16.5" customHeight="1" thickTop="1">
      <c r="B26" s="13">
        <v>6</v>
      </c>
      <c r="C26" s="14" t="s">
        <v>35</v>
      </c>
      <c r="D26" s="37">
        <v>27019</v>
      </c>
      <c r="E26" s="16">
        <f t="shared" si="0"/>
        <v>47.80821917808219</v>
      </c>
      <c r="F26" s="17" t="s">
        <v>15</v>
      </c>
      <c r="G26" s="17" t="s">
        <v>12</v>
      </c>
      <c r="H26" s="17">
        <v>4</v>
      </c>
      <c r="I26" s="18"/>
      <c r="J26" s="11">
        <f t="shared" si="1"/>
        <v>44469</v>
      </c>
      <c r="L26" s="12"/>
      <c r="N26" s="12"/>
    </row>
    <row r="27" spans="2:14" ht="16.5" customHeight="1">
      <c r="B27" s="19"/>
      <c r="C27" s="20" t="s">
        <v>36</v>
      </c>
      <c r="D27" s="21">
        <v>27834</v>
      </c>
      <c r="E27" s="22">
        <f t="shared" si="0"/>
        <v>45.575342465753423</v>
      </c>
      <c r="F27" s="23" t="s">
        <v>17</v>
      </c>
      <c r="G27" s="23" t="s">
        <v>37</v>
      </c>
      <c r="H27" s="23"/>
      <c r="I27" s="24"/>
      <c r="J27" s="11">
        <f t="shared" si="1"/>
        <v>44469</v>
      </c>
      <c r="L27" s="12"/>
      <c r="N27" s="12"/>
    </row>
    <row r="28" spans="2:14" ht="16.5" customHeight="1">
      <c r="B28" s="19"/>
      <c r="C28" s="20" t="s">
        <v>38</v>
      </c>
      <c r="D28" s="21">
        <v>35776</v>
      </c>
      <c r="E28" s="22">
        <f t="shared" si="0"/>
        <v>23.816438356164383</v>
      </c>
      <c r="F28" s="23" t="s">
        <v>17</v>
      </c>
      <c r="G28" s="23" t="s">
        <v>20</v>
      </c>
      <c r="H28" s="23"/>
      <c r="I28" s="24"/>
      <c r="J28" s="11">
        <f t="shared" si="1"/>
        <v>44469</v>
      </c>
      <c r="L28" s="12"/>
      <c r="N28" s="12"/>
    </row>
    <row r="29" spans="2:14" ht="16.5" customHeight="1" thickBot="1">
      <c r="B29" s="38"/>
      <c r="C29" s="39" t="s">
        <v>39</v>
      </c>
      <c r="D29" s="40">
        <v>37814</v>
      </c>
      <c r="E29" s="41">
        <f t="shared" si="0"/>
        <v>18.232876712328768</v>
      </c>
      <c r="F29" s="42" t="s">
        <v>17</v>
      </c>
      <c r="G29" s="42" t="s">
        <v>20</v>
      </c>
      <c r="H29" s="42"/>
      <c r="I29" s="43">
        <v>6</v>
      </c>
      <c r="J29" s="11">
        <f t="shared" si="1"/>
        <v>44469</v>
      </c>
      <c r="L29" s="12" t="s">
        <v>12</v>
      </c>
      <c r="N29" s="12" t="s">
        <v>13</v>
      </c>
    </row>
    <row r="30" spans="2:14" ht="16.5" customHeight="1" thickTop="1">
      <c r="B30" s="13">
        <v>7</v>
      </c>
      <c r="C30" s="14" t="s">
        <v>40</v>
      </c>
      <c r="D30" s="37">
        <v>22448</v>
      </c>
      <c r="E30" s="16">
        <f t="shared" si="0"/>
        <v>60.331506849315069</v>
      </c>
      <c r="F30" s="17" t="s">
        <v>15</v>
      </c>
      <c r="G30" s="17" t="s">
        <v>12</v>
      </c>
      <c r="H30" s="17">
        <v>4</v>
      </c>
      <c r="I30" s="18"/>
      <c r="J30" s="11">
        <f t="shared" si="1"/>
        <v>44469</v>
      </c>
      <c r="L30" s="12"/>
      <c r="N30" s="12"/>
    </row>
    <row r="31" spans="2:14" ht="16.5" customHeight="1">
      <c r="B31" s="19"/>
      <c r="C31" s="20" t="s">
        <v>41</v>
      </c>
      <c r="D31" s="21">
        <v>24109</v>
      </c>
      <c r="E31" s="22">
        <f t="shared" si="0"/>
        <v>55.780821917808218</v>
      </c>
      <c r="F31" s="23" t="s">
        <v>17</v>
      </c>
      <c r="G31" s="23" t="s">
        <v>18</v>
      </c>
      <c r="H31" s="23"/>
      <c r="I31" s="24"/>
      <c r="J31" s="11">
        <f t="shared" si="1"/>
        <v>44469</v>
      </c>
      <c r="L31" s="12"/>
      <c r="N31" s="12"/>
    </row>
    <row r="32" spans="2:14" ht="16.5" customHeight="1" thickBot="1">
      <c r="B32" s="25"/>
      <c r="C32" s="26" t="s">
        <v>42</v>
      </c>
      <c r="D32" s="27">
        <v>36127</v>
      </c>
      <c r="E32" s="28">
        <f t="shared" si="0"/>
        <v>22.854794520547944</v>
      </c>
      <c r="F32" s="29" t="s">
        <v>15</v>
      </c>
      <c r="G32" s="29" t="s">
        <v>20</v>
      </c>
      <c r="H32" s="29"/>
      <c r="I32" s="30">
        <v>7</v>
      </c>
      <c r="J32" s="11">
        <f t="shared" si="1"/>
        <v>44469</v>
      </c>
      <c r="L32" s="12" t="s">
        <v>12</v>
      </c>
      <c r="N32" s="12" t="s">
        <v>13</v>
      </c>
    </row>
    <row r="33" spans="2:14" ht="16.5" customHeight="1" thickTop="1">
      <c r="B33" s="44">
        <v>8</v>
      </c>
      <c r="C33" s="45" t="s">
        <v>43</v>
      </c>
      <c r="D33" s="46">
        <v>20805</v>
      </c>
      <c r="E33" s="47">
        <f t="shared" si="0"/>
        <v>64.832876712328769</v>
      </c>
      <c r="F33" s="48" t="s">
        <v>15</v>
      </c>
      <c r="G33" s="48" t="s">
        <v>12</v>
      </c>
      <c r="H33" s="48">
        <v>2</v>
      </c>
      <c r="I33" s="49"/>
      <c r="J33" s="11">
        <f t="shared" si="1"/>
        <v>44469</v>
      </c>
      <c r="L33" s="12"/>
      <c r="N33" s="12"/>
    </row>
    <row r="34" spans="2:14" ht="16.5" customHeight="1" thickBot="1">
      <c r="B34" s="38"/>
      <c r="C34" s="39" t="s">
        <v>44</v>
      </c>
      <c r="D34" s="40">
        <v>22808</v>
      </c>
      <c r="E34" s="41">
        <f t="shared" si="0"/>
        <v>59.345205479452055</v>
      </c>
      <c r="F34" s="42" t="s">
        <v>17</v>
      </c>
      <c r="G34" s="42" t="s">
        <v>18</v>
      </c>
      <c r="H34" s="42"/>
      <c r="I34" s="43"/>
      <c r="J34" s="11">
        <f t="shared" si="1"/>
        <v>44469</v>
      </c>
      <c r="L34" s="12" t="s">
        <v>12</v>
      </c>
      <c r="N34" s="12" t="s">
        <v>13</v>
      </c>
    </row>
    <row r="35" spans="2:14" ht="16.5" customHeight="1" thickTop="1">
      <c r="B35" s="13">
        <v>9</v>
      </c>
      <c r="C35" s="14" t="s">
        <v>45</v>
      </c>
      <c r="D35" s="37">
        <v>34136</v>
      </c>
      <c r="E35" s="16">
        <f t="shared" si="0"/>
        <v>28.30958904109589</v>
      </c>
      <c r="F35" s="17" t="s">
        <v>15</v>
      </c>
      <c r="G35" s="17" t="s">
        <v>12</v>
      </c>
      <c r="H35" s="17">
        <v>3</v>
      </c>
      <c r="I35" s="18"/>
      <c r="J35" s="11">
        <f t="shared" si="1"/>
        <v>44469</v>
      </c>
      <c r="L35" s="12"/>
      <c r="N35" s="12"/>
    </row>
    <row r="36" spans="2:14" ht="16.5" customHeight="1">
      <c r="B36" s="19"/>
      <c r="C36" s="20" t="s">
        <v>46</v>
      </c>
      <c r="D36" s="21">
        <v>33081</v>
      </c>
      <c r="E36" s="22">
        <f t="shared" si="0"/>
        <v>31.2</v>
      </c>
      <c r="F36" s="23" t="s">
        <v>17</v>
      </c>
      <c r="G36" s="23" t="s">
        <v>18</v>
      </c>
      <c r="H36" s="23"/>
      <c r="I36" s="24"/>
      <c r="J36" s="11">
        <f t="shared" si="1"/>
        <v>44469</v>
      </c>
      <c r="L36" s="12"/>
      <c r="N36" s="12"/>
    </row>
    <row r="37" spans="2:14" ht="16.5" customHeight="1" thickBot="1">
      <c r="B37" s="25"/>
      <c r="C37" s="26" t="s">
        <v>47</v>
      </c>
      <c r="D37" s="27">
        <v>43741</v>
      </c>
      <c r="E37" s="28">
        <f t="shared" si="0"/>
        <v>1.9945205479452055</v>
      </c>
      <c r="F37" s="29" t="s">
        <v>17</v>
      </c>
      <c r="G37" s="29" t="s">
        <v>20</v>
      </c>
      <c r="H37" s="29"/>
      <c r="I37" s="30"/>
      <c r="J37" s="11">
        <f t="shared" si="1"/>
        <v>44469</v>
      </c>
      <c r="L37" s="12" t="s">
        <v>12</v>
      </c>
      <c r="N37" s="12" t="s">
        <v>13</v>
      </c>
    </row>
    <row r="38" spans="2:14" ht="16.5" customHeight="1" thickTop="1">
      <c r="B38" s="13">
        <v>10</v>
      </c>
      <c r="C38" s="14" t="s">
        <v>48</v>
      </c>
      <c r="D38" s="37">
        <v>27883</v>
      </c>
      <c r="E38" s="16">
        <f t="shared" si="0"/>
        <v>45.441095890410956</v>
      </c>
      <c r="F38" s="17" t="s">
        <v>15</v>
      </c>
      <c r="G38" s="17" t="s">
        <v>12</v>
      </c>
      <c r="H38" s="50">
        <v>4</v>
      </c>
      <c r="I38" s="18"/>
      <c r="J38" s="11">
        <f t="shared" si="1"/>
        <v>44469</v>
      </c>
      <c r="L38" s="12"/>
      <c r="N38" s="12"/>
    </row>
    <row r="39" spans="2:14" ht="16.5" customHeight="1">
      <c r="B39" s="19"/>
      <c r="C39" s="20" t="s">
        <v>49</v>
      </c>
      <c r="D39" s="21">
        <v>30820</v>
      </c>
      <c r="E39" s="22">
        <f t="shared" si="0"/>
        <v>37.394520547945206</v>
      </c>
      <c r="F39" s="23" t="s">
        <v>17</v>
      </c>
      <c r="G39" s="23" t="s">
        <v>18</v>
      </c>
      <c r="H39" s="51"/>
      <c r="I39" s="24"/>
      <c r="J39" s="11">
        <f t="shared" si="1"/>
        <v>44469</v>
      </c>
      <c r="L39" s="12"/>
      <c r="N39" s="12"/>
    </row>
    <row r="40" spans="2:14" ht="16.5" customHeight="1">
      <c r="B40" s="19"/>
      <c r="C40" s="20" t="s">
        <v>50</v>
      </c>
      <c r="D40" s="21">
        <v>38927</v>
      </c>
      <c r="E40" s="22">
        <f t="shared" si="0"/>
        <v>15.183561643835617</v>
      </c>
      <c r="F40" s="23" t="s">
        <v>17</v>
      </c>
      <c r="G40" s="23" t="s">
        <v>20</v>
      </c>
      <c r="H40" s="51"/>
      <c r="I40" s="24">
        <v>10</v>
      </c>
      <c r="J40" s="11">
        <f t="shared" si="1"/>
        <v>44469</v>
      </c>
      <c r="L40" s="12"/>
      <c r="N40" s="12"/>
    </row>
    <row r="41" spans="2:14" ht="16.5" customHeight="1">
      <c r="B41" s="38"/>
      <c r="C41" s="39" t="s">
        <v>51</v>
      </c>
      <c r="D41" s="40"/>
      <c r="E41" s="41">
        <f>INT((J40-D41))/365</f>
        <v>121.83287671232877</v>
      </c>
      <c r="F41" s="42" t="s">
        <v>17</v>
      </c>
      <c r="G41" s="42" t="s">
        <v>20</v>
      </c>
      <c r="H41" s="85"/>
      <c r="I41" s="43"/>
      <c r="J41" s="11"/>
      <c r="L41" s="12"/>
      <c r="N41" s="12"/>
    </row>
    <row r="42" spans="2:14" ht="16.5" customHeight="1" thickBot="1">
      <c r="B42" s="25"/>
      <c r="C42" s="26" t="s">
        <v>220</v>
      </c>
      <c r="D42" s="27">
        <v>42375</v>
      </c>
      <c r="E42" s="28">
        <f>INT((J40-D42))/365</f>
        <v>5.7369863013698632</v>
      </c>
      <c r="F42" s="29" t="s">
        <v>15</v>
      </c>
      <c r="G42" s="29" t="s">
        <v>20</v>
      </c>
      <c r="H42" s="52"/>
      <c r="I42" s="30"/>
      <c r="J42" s="11">
        <f>J40</f>
        <v>44469</v>
      </c>
      <c r="L42" s="12" t="s">
        <v>12</v>
      </c>
      <c r="N42" s="12" t="s">
        <v>13</v>
      </c>
    </row>
    <row r="43" spans="2:14" ht="16.5" customHeight="1" thickTop="1">
      <c r="B43" s="13">
        <v>11</v>
      </c>
      <c r="C43" s="14" t="s">
        <v>52</v>
      </c>
      <c r="D43" s="37">
        <v>28288</v>
      </c>
      <c r="E43" s="16">
        <f>INT((J42-D43))/365</f>
        <v>44.331506849315069</v>
      </c>
      <c r="F43" s="17" t="s">
        <v>15</v>
      </c>
      <c r="G43" s="17" t="s">
        <v>12</v>
      </c>
      <c r="H43" s="50">
        <v>4</v>
      </c>
      <c r="I43" s="18"/>
      <c r="J43" s="11">
        <f>J42</f>
        <v>44469</v>
      </c>
      <c r="L43" s="12"/>
      <c r="N43" s="12"/>
    </row>
    <row r="44" spans="2:14" ht="16.5" customHeight="1">
      <c r="B44" s="19"/>
      <c r="C44" s="20" t="s">
        <v>53</v>
      </c>
      <c r="D44" s="21">
        <v>27722</v>
      </c>
      <c r="E44" s="22">
        <f t="shared" si="0"/>
        <v>45.88219178082192</v>
      </c>
      <c r="F44" s="23" t="s">
        <v>17</v>
      </c>
      <c r="G44" s="23" t="s">
        <v>18</v>
      </c>
      <c r="H44" s="51"/>
      <c r="I44" s="24"/>
      <c r="J44" s="11">
        <f t="shared" si="1"/>
        <v>44469</v>
      </c>
      <c r="L44" s="12"/>
      <c r="N44" s="12"/>
    </row>
    <row r="45" spans="2:14" ht="16.5" customHeight="1">
      <c r="B45" s="19"/>
      <c r="C45" s="20" t="s">
        <v>218</v>
      </c>
      <c r="D45" s="23"/>
      <c r="E45" s="22"/>
      <c r="F45" s="23" t="s">
        <v>17</v>
      </c>
      <c r="G45" s="23" t="s">
        <v>20</v>
      </c>
      <c r="H45" s="51"/>
      <c r="I45" s="24">
        <v>11</v>
      </c>
      <c r="J45" s="11">
        <f t="shared" si="1"/>
        <v>44469</v>
      </c>
      <c r="L45" s="12"/>
      <c r="N45" s="12"/>
    </row>
    <row r="46" spans="2:14" ht="16.5" customHeight="1" thickBot="1">
      <c r="B46" s="25"/>
      <c r="C46" s="26" t="s">
        <v>219</v>
      </c>
      <c r="D46" s="29"/>
      <c r="E46" s="28"/>
      <c r="F46" s="29" t="s">
        <v>15</v>
      </c>
      <c r="G46" s="29" t="s">
        <v>20</v>
      </c>
      <c r="H46" s="52"/>
      <c r="I46" s="30"/>
      <c r="J46" s="11">
        <f t="shared" si="1"/>
        <v>44469</v>
      </c>
      <c r="L46" s="12" t="s">
        <v>12</v>
      </c>
      <c r="N46" s="12" t="s">
        <v>13</v>
      </c>
    </row>
    <row r="47" spans="2:14" ht="16.5" customHeight="1" thickTop="1">
      <c r="B47" s="13">
        <v>12</v>
      </c>
      <c r="C47" s="14" t="s">
        <v>54</v>
      </c>
      <c r="D47" s="37">
        <v>30604</v>
      </c>
      <c r="E47" s="16">
        <f t="shared" si="0"/>
        <v>37.986301369863014</v>
      </c>
      <c r="F47" s="17" t="s">
        <v>15</v>
      </c>
      <c r="G47" s="17" t="s">
        <v>12</v>
      </c>
      <c r="H47" s="50">
        <v>3</v>
      </c>
      <c r="I47" s="18"/>
      <c r="J47" s="11">
        <f t="shared" si="1"/>
        <v>44469</v>
      </c>
      <c r="L47" s="12"/>
      <c r="N47" s="12"/>
    </row>
    <row r="48" spans="2:14" ht="16.5" customHeight="1">
      <c r="B48" s="19"/>
      <c r="C48" s="20" t="s">
        <v>55</v>
      </c>
      <c r="D48" s="21">
        <v>31269</v>
      </c>
      <c r="E48" s="22">
        <f t="shared" si="0"/>
        <v>36.164383561643838</v>
      </c>
      <c r="F48" s="23" t="s">
        <v>17</v>
      </c>
      <c r="G48" s="23" t="s">
        <v>18</v>
      </c>
      <c r="H48" s="51"/>
      <c r="I48" s="24"/>
      <c r="J48" s="11">
        <f t="shared" si="1"/>
        <v>44469</v>
      </c>
      <c r="L48" s="12"/>
      <c r="N48" s="12"/>
    </row>
    <row r="49" spans="1:14" ht="16.5" customHeight="1" thickBot="1">
      <c r="B49" s="25"/>
      <c r="C49" s="26" t="s">
        <v>56</v>
      </c>
      <c r="D49" s="27">
        <v>40092</v>
      </c>
      <c r="E49" s="28">
        <f t="shared" si="0"/>
        <v>11.991780821917809</v>
      </c>
      <c r="F49" s="29" t="s">
        <v>15</v>
      </c>
      <c r="G49" s="29" t="s">
        <v>20</v>
      </c>
      <c r="H49" s="52"/>
      <c r="I49" s="30">
        <v>12</v>
      </c>
      <c r="J49" s="11">
        <f t="shared" si="1"/>
        <v>44469</v>
      </c>
      <c r="L49" s="12"/>
      <c r="N49" s="12"/>
    </row>
    <row r="50" spans="1:14" ht="16.5" customHeight="1" thickTop="1">
      <c r="A50">
        <v>2</v>
      </c>
      <c r="B50" s="13">
        <v>13</v>
      </c>
      <c r="C50" s="14" t="s">
        <v>57</v>
      </c>
      <c r="D50" s="37">
        <v>25605</v>
      </c>
      <c r="E50" s="16">
        <f t="shared" si="0"/>
        <v>51.682191780821917</v>
      </c>
      <c r="F50" s="17" t="s">
        <v>17</v>
      </c>
      <c r="G50" s="17" t="s">
        <v>12</v>
      </c>
      <c r="H50" s="50" t="s">
        <v>58</v>
      </c>
      <c r="I50" s="18"/>
      <c r="J50" s="11">
        <f t="shared" si="1"/>
        <v>44469</v>
      </c>
      <c r="L50" s="12"/>
      <c r="N50" s="12"/>
    </row>
    <row r="51" spans="1:14" ht="16.5" customHeight="1">
      <c r="B51" s="19"/>
      <c r="C51" s="20" t="s">
        <v>59</v>
      </c>
      <c r="D51" s="21">
        <v>37253</v>
      </c>
      <c r="E51" s="22">
        <f t="shared" si="0"/>
        <v>19.769863013698629</v>
      </c>
      <c r="F51" s="23" t="s">
        <v>15</v>
      </c>
      <c r="G51" s="23" t="s">
        <v>20</v>
      </c>
      <c r="H51" s="51"/>
      <c r="I51" s="24">
        <v>13</v>
      </c>
      <c r="J51" s="11">
        <f t="shared" si="1"/>
        <v>44469</v>
      </c>
      <c r="L51" s="12"/>
      <c r="N51" s="12"/>
    </row>
    <row r="52" spans="1:14" ht="16.5" customHeight="1">
      <c r="B52" s="19"/>
      <c r="C52" s="20" t="s">
        <v>60</v>
      </c>
      <c r="D52" s="21">
        <v>38311</v>
      </c>
      <c r="E52" s="22">
        <f t="shared" si="0"/>
        <v>16.87123287671233</v>
      </c>
      <c r="F52" s="23" t="s">
        <v>17</v>
      </c>
      <c r="G52" s="23" t="s">
        <v>20</v>
      </c>
      <c r="H52" s="51"/>
      <c r="I52" s="24">
        <v>13</v>
      </c>
      <c r="J52" s="11">
        <f t="shared" si="1"/>
        <v>44469</v>
      </c>
      <c r="L52" s="12"/>
      <c r="N52" s="12"/>
    </row>
    <row r="53" spans="1:14" ht="16.5" customHeight="1" thickBot="1">
      <c r="B53" s="25"/>
      <c r="C53" s="26" t="s">
        <v>61</v>
      </c>
      <c r="D53" s="29"/>
      <c r="E53" s="28">
        <f t="shared" si="0"/>
        <v>121.83287671232877</v>
      </c>
      <c r="F53" s="29" t="s">
        <v>17</v>
      </c>
      <c r="G53" s="29" t="s">
        <v>20</v>
      </c>
      <c r="H53" s="52"/>
      <c r="I53" s="30">
        <v>13</v>
      </c>
      <c r="J53" s="11">
        <f t="shared" si="1"/>
        <v>44469</v>
      </c>
      <c r="L53" s="12" t="s">
        <v>12</v>
      </c>
      <c r="N53" s="12" t="s">
        <v>13</v>
      </c>
    </row>
    <row r="54" spans="1:14" ht="16.5" customHeight="1" thickTop="1">
      <c r="B54" s="13">
        <v>14</v>
      </c>
      <c r="C54" s="14" t="s">
        <v>62</v>
      </c>
      <c r="D54" s="37">
        <v>27415</v>
      </c>
      <c r="E54" s="16">
        <f t="shared" si="0"/>
        <v>46.723287671232875</v>
      </c>
      <c r="F54" s="17" t="s">
        <v>15</v>
      </c>
      <c r="G54" s="17" t="s">
        <v>12</v>
      </c>
      <c r="H54" s="50">
        <v>4</v>
      </c>
      <c r="I54" s="18"/>
      <c r="J54" s="11">
        <f t="shared" si="1"/>
        <v>44469</v>
      </c>
      <c r="L54" s="12"/>
      <c r="N54" s="12"/>
    </row>
    <row r="55" spans="1:14" ht="16.5" customHeight="1">
      <c r="B55" s="19"/>
      <c r="C55" s="20" t="s">
        <v>63</v>
      </c>
      <c r="D55" s="21">
        <v>27606</v>
      </c>
      <c r="E55" s="22">
        <f t="shared" si="0"/>
        <v>46.2</v>
      </c>
      <c r="F55" s="23" t="s">
        <v>17</v>
      </c>
      <c r="G55" s="23" t="s">
        <v>18</v>
      </c>
      <c r="H55" s="51"/>
      <c r="I55" s="24"/>
      <c r="J55" s="11">
        <f t="shared" si="1"/>
        <v>44469</v>
      </c>
      <c r="L55" s="12"/>
      <c r="N55" s="12"/>
    </row>
    <row r="56" spans="1:14" ht="16.5" customHeight="1">
      <c r="B56" s="19"/>
      <c r="C56" s="20" t="s">
        <v>64</v>
      </c>
      <c r="D56" s="21">
        <v>35182</v>
      </c>
      <c r="E56" s="22">
        <f t="shared" si="0"/>
        <v>25.443835616438356</v>
      </c>
      <c r="F56" s="23" t="s">
        <v>15</v>
      </c>
      <c r="G56" s="23" t="s">
        <v>20</v>
      </c>
      <c r="H56" s="51"/>
      <c r="I56" s="24">
        <v>14</v>
      </c>
      <c r="J56" s="11">
        <f t="shared" si="1"/>
        <v>44469</v>
      </c>
      <c r="L56" s="12"/>
      <c r="N56" s="12"/>
    </row>
    <row r="57" spans="1:14" ht="16.5" customHeight="1" thickBot="1">
      <c r="B57" s="25"/>
      <c r="C57" s="26" t="s">
        <v>65</v>
      </c>
      <c r="D57" s="27">
        <v>36628</v>
      </c>
      <c r="E57" s="28">
        <f t="shared" si="0"/>
        <v>21.482191780821918</v>
      </c>
      <c r="F57" s="29" t="s">
        <v>17</v>
      </c>
      <c r="G57" s="29" t="s">
        <v>20</v>
      </c>
      <c r="H57" s="52"/>
      <c r="I57" s="30">
        <v>14</v>
      </c>
      <c r="J57" s="11">
        <f t="shared" si="1"/>
        <v>44469</v>
      </c>
      <c r="L57" s="12"/>
      <c r="N57" s="12"/>
    </row>
    <row r="58" spans="1:14" ht="16.5" customHeight="1" thickTop="1">
      <c r="A58">
        <v>3</v>
      </c>
      <c r="B58" s="13"/>
      <c r="C58" s="14"/>
      <c r="D58" s="37"/>
      <c r="E58" s="16"/>
      <c r="F58" s="17"/>
      <c r="G58" s="17"/>
      <c r="H58" s="50">
        <v>3</v>
      </c>
      <c r="I58" s="18"/>
      <c r="J58" s="11">
        <f t="shared" si="1"/>
        <v>44469</v>
      </c>
      <c r="L58" s="12"/>
      <c r="N58" s="12"/>
    </row>
    <row r="59" spans="1:14" ht="16.5" customHeight="1">
      <c r="B59" s="19">
        <v>15</v>
      </c>
      <c r="C59" s="20" t="s">
        <v>66</v>
      </c>
      <c r="D59" s="21">
        <v>28978</v>
      </c>
      <c r="E59" s="22">
        <f t="shared" si="0"/>
        <v>42.441095890410956</v>
      </c>
      <c r="F59" s="23" t="s">
        <v>15</v>
      </c>
      <c r="G59" s="23" t="s">
        <v>12</v>
      </c>
      <c r="H59" s="51"/>
      <c r="I59" s="24"/>
      <c r="J59" s="11">
        <f t="shared" si="1"/>
        <v>44469</v>
      </c>
      <c r="L59" s="12"/>
      <c r="N59" s="12"/>
    </row>
    <row r="60" spans="1:14" ht="16.5" customHeight="1" thickBot="1">
      <c r="B60" s="25"/>
      <c r="C60" s="26" t="s">
        <v>67</v>
      </c>
      <c r="D60" s="27">
        <v>31623</v>
      </c>
      <c r="E60" s="28">
        <f t="shared" si="0"/>
        <v>35.194520547945203</v>
      </c>
      <c r="F60" s="29" t="s">
        <v>15</v>
      </c>
      <c r="G60" s="29" t="s">
        <v>84</v>
      </c>
      <c r="H60" s="52"/>
      <c r="I60" s="30"/>
      <c r="J60" s="11">
        <f t="shared" si="1"/>
        <v>44469</v>
      </c>
      <c r="L60" s="12"/>
      <c r="N60" s="12"/>
    </row>
    <row r="61" spans="1:14" ht="16.5" customHeight="1" thickTop="1">
      <c r="B61" s="13">
        <v>16</v>
      </c>
      <c r="C61" s="14" t="s">
        <v>212</v>
      </c>
      <c r="D61" s="37">
        <v>25719</v>
      </c>
      <c r="E61" s="16">
        <f t="shared" si="0"/>
        <v>51.369863013698627</v>
      </c>
      <c r="F61" s="17" t="s">
        <v>15</v>
      </c>
      <c r="G61" s="17" t="s">
        <v>68</v>
      </c>
      <c r="H61" s="50">
        <v>3</v>
      </c>
      <c r="I61" s="18"/>
      <c r="J61" s="11">
        <f t="shared" si="1"/>
        <v>44469</v>
      </c>
      <c r="L61" s="12"/>
      <c r="N61" s="12"/>
    </row>
    <row r="62" spans="1:14" ht="16.5" customHeight="1">
      <c r="B62" s="19"/>
      <c r="C62" s="20" t="s">
        <v>69</v>
      </c>
      <c r="D62" s="21">
        <v>32612</v>
      </c>
      <c r="E62" s="22">
        <f t="shared" si="0"/>
        <v>32.484931506849314</v>
      </c>
      <c r="F62" s="23" t="s">
        <v>17</v>
      </c>
      <c r="G62" s="23" t="s">
        <v>18</v>
      </c>
      <c r="H62" s="51"/>
      <c r="I62" s="24"/>
      <c r="J62" s="11">
        <f t="shared" si="1"/>
        <v>44469</v>
      </c>
      <c r="L62" s="12"/>
      <c r="N62" s="12"/>
    </row>
    <row r="63" spans="1:14" ht="16.5" customHeight="1">
      <c r="B63" s="38"/>
      <c r="C63" s="137" t="s">
        <v>213</v>
      </c>
      <c r="D63" s="138">
        <v>39448</v>
      </c>
      <c r="E63" s="139">
        <f>INT((J61-D63))/365</f>
        <v>13.756164383561643</v>
      </c>
      <c r="F63" s="140" t="s">
        <v>15</v>
      </c>
      <c r="G63" s="140" t="s">
        <v>20</v>
      </c>
      <c r="H63" s="85"/>
      <c r="I63" s="43"/>
      <c r="J63" s="11"/>
      <c r="L63" s="12"/>
      <c r="N63" s="12"/>
    </row>
    <row r="64" spans="1:14" ht="16.5" customHeight="1" thickBot="1">
      <c r="B64" s="25"/>
      <c r="C64" s="141" t="s">
        <v>214</v>
      </c>
      <c r="D64" s="142">
        <v>39448</v>
      </c>
      <c r="E64" s="143">
        <f>INT((J62-D64))/365</f>
        <v>13.756164383561643</v>
      </c>
      <c r="F64" s="144" t="s">
        <v>15</v>
      </c>
      <c r="G64" s="144" t="s">
        <v>20</v>
      </c>
      <c r="H64" s="52"/>
      <c r="I64" s="30">
        <v>16</v>
      </c>
      <c r="J64" s="11">
        <f>J62</f>
        <v>44469</v>
      </c>
      <c r="L64" s="12" t="s">
        <v>12</v>
      </c>
      <c r="N64" s="12" t="s">
        <v>13</v>
      </c>
    </row>
    <row r="65" spans="1:14" ht="16.5" customHeight="1" thickTop="1">
      <c r="B65" s="13">
        <v>17</v>
      </c>
      <c r="C65" s="14" t="s">
        <v>70</v>
      </c>
      <c r="D65" s="37">
        <v>25936</v>
      </c>
      <c r="E65" s="16">
        <f>INT((J64-D65))/365</f>
        <v>50.775342465753425</v>
      </c>
      <c r="F65" s="17" t="s">
        <v>15</v>
      </c>
      <c r="G65" s="17" t="s">
        <v>12</v>
      </c>
      <c r="H65" s="50">
        <v>4</v>
      </c>
      <c r="I65" s="18"/>
      <c r="J65" s="11">
        <f>J64</f>
        <v>44469</v>
      </c>
      <c r="L65" s="12"/>
      <c r="N65" s="12"/>
    </row>
    <row r="66" spans="1:14" ht="16.5" customHeight="1">
      <c r="B66" s="19"/>
      <c r="C66" s="20" t="s">
        <v>71</v>
      </c>
      <c r="D66" s="21">
        <v>36159</v>
      </c>
      <c r="E66" s="22">
        <f t="shared" si="0"/>
        <v>22.767123287671232</v>
      </c>
      <c r="F66" s="23" t="s">
        <v>15</v>
      </c>
      <c r="G66" s="23" t="s">
        <v>20</v>
      </c>
      <c r="H66" s="51"/>
      <c r="I66" s="24"/>
      <c r="J66" s="11">
        <f t="shared" si="1"/>
        <v>44469</v>
      </c>
      <c r="L66" s="12"/>
      <c r="N66" s="12"/>
    </row>
    <row r="67" spans="1:14" ht="16.5" customHeight="1">
      <c r="B67" s="19"/>
      <c r="C67" s="20" t="s">
        <v>72</v>
      </c>
      <c r="D67" s="21">
        <v>39018</v>
      </c>
      <c r="E67" s="22">
        <f t="shared" si="0"/>
        <v>14.934246575342465</v>
      </c>
      <c r="F67" s="23" t="s">
        <v>15</v>
      </c>
      <c r="G67" s="23" t="s">
        <v>20</v>
      </c>
      <c r="H67" s="51"/>
      <c r="I67" s="24">
        <v>17</v>
      </c>
      <c r="J67" s="11">
        <f t="shared" si="1"/>
        <v>44469</v>
      </c>
      <c r="L67" s="12"/>
      <c r="N67" s="12"/>
    </row>
    <row r="68" spans="1:14" ht="16.5" customHeight="1" thickBot="1">
      <c r="B68" s="25"/>
      <c r="C68" s="26" t="s">
        <v>73</v>
      </c>
      <c r="D68" s="27">
        <v>18628</v>
      </c>
      <c r="E68" s="28">
        <f t="shared" si="0"/>
        <v>70.797260273972597</v>
      </c>
      <c r="F68" s="29" t="s">
        <v>17</v>
      </c>
      <c r="G68" s="29" t="s">
        <v>74</v>
      </c>
      <c r="H68" s="52"/>
      <c r="I68" s="30"/>
      <c r="J68" s="11">
        <f t="shared" si="1"/>
        <v>44469</v>
      </c>
      <c r="L68" s="12" t="s">
        <v>12</v>
      </c>
      <c r="N68" s="12" t="s">
        <v>12</v>
      </c>
    </row>
    <row r="69" spans="1:14" ht="16.5" customHeight="1" thickTop="1">
      <c r="A69">
        <v>4</v>
      </c>
      <c r="B69" s="53">
        <v>18</v>
      </c>
      <c r="C69" s="14" t="s">
        <v>75</v>
      </c>
      <c r="D69" s="37">
        <v>26866</v>
      </c>
      <c r="E69" s="16">
        <f t="shared" si="0"/>
        <v>48.227397260273975</v>
      </c>
      <c r="F69" s="17" t="s">
        <v>17</v>
      </c>
      <c r="G69" s="17" t="s">
        <v>12</v>
      </c>
      <c r="H69" s="50">
        <v>3</v>
      </c>
      <c r="I69" s="18"/>
      <c r="J69" s="11">
        <f t="shared" si="1"/>
        <v>44469</v>
      </c>
      <c r="L69" s="12"/>
      <c r="N69" s="12"/>
    </row>
    <row r="70" spans="1:14" ht="16.5" customHeight="1">
      <c r="B70" s="54"/>
      <c r="C70" s="20" t="s">
        <v>76</v>
      </c>
      <c r="D70" s="21">
        <v>37168</v>
      </c>
      <c r="E70" s="22">
        <f t="shared" si="0"/>
        <v>20.002739726027396</v>
      </c>
      <c r="F70" s="23" t="s">
        <v>17</v>
      </c>
      <c r="G70" s="23" t="s">
        <v>20</v>
      </c>
      <c r="H70" s="51"/>
      <c r="I70" s="24">
        <v>18</v>
      </c>
      <c r="J70" s="11">
        <f t="shared" si="1"/>
        <v>44469</v>
      </c>
      <c r="L70" s="12"/>
      <c r="N70" s="12"/>
    </row>
    <row r="71" spans="1:14" ht="16.5" customHeight="1" thickBot="1">
      <c r="B71" s="55"/>
      <c r="C71" s="26" t="s">
        <v>77</v>
      </c>
      <c r="D71" s="27">
        <v>39430</v>
      </c>
      <c r="E71" s="28">
        <f t="shared" si="0"/>
        <v>13.805479452054794</v>
      </c>
      <c r="F71" s="29" t="s">
        <v>15</v>
      </c>
      <c r="G71" s="29" t="s">
        <v>20</v>
      </c>
      <c r="H71" s="52"/>
      <c r="I71" s="30">
        <v>18</v>
      </c>
      <c r="J71" s="11">
        <f t="shared" si="1"/>
        <v>44469</v>
      </c>
      <c r="L71" s="12" t="s">
        <v>12</v>
      </c>
      <c r="N71" s="12" t="s">
        <v>13</v>
      </c>
    </row>
    <row r="72" spans="1:14" ht="16.5" customHeight="1" thickTop="1">
      <c r="B72" s="13">
        <v>19</v>
      </c>
      <c r="C72" s="14" t="s">
        <v>78</v>
      </c>
      <c r="D72" s="37">
        <v>28167</v>
      </c>
      <c r="E72" s="16">
        <f t="shared" si="0"/>
        <v>44.663013698630138</v>
      </c>
      <c r="F72" s="17" t="s">
        <v>15</v>
      </c>
      <c r="G72" s="17" t="s">
        <v>12</v>
      </c>
      <c r="H72" s="50">
        <v>6</v>
      </c>
      <c r="I72" s="18"/>
      <c r="J72" s="11">
        <f t="shared" si="1"/>
        <v>44469</v>
      </c>
      <c r="L72" s="12"/>
      <c r="N72" s="12"/>
    </row>
    <row r="73" spans="1:14" ht="16.5" customHeight="1">
      <c r="B73" s="19"/>
      <c r="C73" s="20" t="s">
        <v>79</v>
      </c>
      <c r="D73" s="21">
        <v>29412</v>
      </c>
      <c r="E73" s="22">
        <f t="shared" si="0"/>
        <v>41.252054794520546</v>
      </c>
      <c r="F73" s="23" t="s">
        <v>17</v>
      </c>
      <c r="G73" s="23" t="s">
        <v>18</v>
      </c>
      <c r="H73" s="51"/>
      <c r="I73" s="24"/>
      <c r="J73" s="11">
        <f t="shared" si="1"/>
        <v>44469</v>
      </c>
      <c r="L73" s="12"/>
      <c r="N73" s="12"/>
    </row>
    <row r="74" spans="1:14" ht="16.5" customHeight="1">
      <c r="B74" s="19"/>
      <c r="C74" s="20" t="s">
        <v>80</v>
      </c>
      <c r="D74" s="21">
        <v>38590</v>
      </c>
      <c r="E74" s="22">
        <f t="shared" si="0"/>
        <v>16.106849315068494</v>
      </c>
      <c r="F74" s="23" t="s">
        <v>17</v>
      </c>
      <c r="G74" s="23" t="s">
        <v>20</v>
      </c>
      <c r="H74" s="51"/>
      <c r="I74" s="24"/>
      <c r="J74" s="11">
        <f t="shared" si="1"/>
        <v>44469</v>
      </c>
      <c r="L74" s="12"/>
      <c r="N74" s="12"/>
    </row>
    <row r="75" spans="1:14" ht="16.5" customHeight="1">
      <c r="B75" s="19"/>
      <c r="C75" s="20" t="s">
        <v>81</v>
      </c>
      <c r="D75" s="21">
        <v>39890</v>
      </c>
      <c r="E75" s="22">
        <f t="shared" ref="E75:E96" si="2">INT((J74-D75))/365</f>
        <v>12.545205479452054</v>
      </c>
      <c r="F75" s="23" t="s">
        <v>17</v>
      </c>
      <c r="G75" s="23" t="s">
        <v>20</v>
      </c>
      <c r="H75" s="51"/>
      <c r="I75" s="24"/>
      <c r="J75" s="11">
        <f t="shared" si="1"/>
        <v>44469</v>
      </c>
      <c r="L75" s="12"/>
      <c r="N75" s="12"/>
    </row>
    <row r="76" spans="1:14" ht="16.5" customHeight="1">
      <c r="B76" s="19"/>
      <c r="C76" s="20" t="s">
        <v>82</v>
      </c>
      <c r="D76" s="21">
        <v>40534</v>
      </c>
      <c r="E76" s="22">
        <f t="shared" si="2"/>
        <v>10.780821917808218</v>
      </c>
      <c r="F76" s="23" t="s">
        <v>15</v>
      </c>
      <c r="G76" s="23" t="s">
        <v>20</v>
      </c>
      <c r="H76" s="51"/>
      <c r="I76" s="24"/>
      <c r="J76" s="11">
        <f t="shared" ref="J76:J139" si="3">J75</f>
        <v>44469</v>
      </c>
      <c r="L76" s="12"/>
      <c r="N76" s="12"/>
    </row>
    <row r="77" spans="1:14" ht="16.5" customHeight="1" thickBot="1">
      <c r="B77" s="25"/>
      <c r="C77" s="26" t="s">
        <v>83</v>
      </c>
      <c r="D77" s="27">
        <v>32360</v>
      </c>
      <c r="E77" s="28">
        <f t="shared" si="2"/>
        <v>33.175342465753424</v>
      </c>
      <c r="F77" s="29" t="s">
        <v>15</v>
      </c>
      <c r="G77" s="29" t="s">
        <v>84</v>
      </c>
      <c r="H77" s="52"/>
      <c r="I77" s="30"/>
      <c r="J77" s="11">
        <f t="shared" si="3"/>
        <v>44469</v>
      </c>
      <c r="L77" s="12"/>
      <c r="N77" s="12"/>
    </row>
    <row r="78" spans="1:14" ht="16.5" customHeight="1" thickTop="1">
      <c r="A78">
        <v>5</v>
      </c>
      <c r="B78" s="13">
        <v>20</v>
      </c>
      <c r="C78" s="14" t="s">
        <v>85</v>
      </c>
      <c r="D78" s="37">
        <v>22582</v>
      </c>
      <c r="E78" s="16">
        <f t="shared" si="2"/>
        <v>59.964383561643835</v>
      </c>
      <c r="F78" s="17" t="s">
        <v>17</v>
      </c>
      <c r="G78" s="17" t="s">
        <v>12</v>
      </c>
      <c r="H78" s="50">
        <v>2</v>
      </c>
      <c r="I78" s="18"/>
      <c r="J78" s="11">
        <f t="shared" si="3"/>
        <v>44469</v>
      </c>
      <c r="L78" s="12"/>
      <c r="N78" s="12"/>
    </row>
    <row r="79" spans="1:14" ht="16.5" customHeight="1" thickBot="1">
      <c r="B79" s="25"/>
      <c r="C79" s="26" t="s">
        <v>86</v>
      </c>
      <c r="D79" s="27">
        <v>35271</v>
      </c>
      <c r="E79" s="28">
        <f t="shared" si="2"/>
        <v>25.2</v>
      </c>
      <c r="F79" s="29" t="s">
        <v>15</v>
      </c>
      <c r="G79" s="29" t="s">
        <v>20</v>
      </c>
      <c r="H79" s="52"/>
      <c r="I79" s="30">
        <v>20</v>
      </c>
      <c r="J79" s="11">
        <f t="shared" si="3"/>
        <v>44469</v>
      </c>
      <c r="L79" s="12"/>
      <c r="N79" s="12"/>
    </row>
    <row r="80" spans="1:14" ht="16.5" customHeight="1" thickTop="1">
      <c r="B80" s="13">
        <v>21</v>
      </c>
      <c r="C80" s="14" t="s">
        <v>87</v>
      </c>
      <c r="D80" s="37">
        <v>20590</v>
      </c>
      <c r="E80" s="16">
        <f t="shared" si="2"/>
        <v>65.421917808219177</v>
      </c>
      <c r="F80" s="17" t="s">
        <v>17</v>
      </c>
      <c r="G80" s="17" t="s">
        <v>12</v>
      </c>
      <c r="H80" s="50">
        <v>2</v>
      </c>
      <c r="I80" s="18"/>
      <c r="J80" s="11">
        <f t="shared" si="3"/>
        <v>44469</v>
      </c>
      <c r="L80" s="12"/>
      <c r="N80" s="12"/>
    </row>
    <row r="81" spans="2:14" ht="16.5" customHeight="1" thickBot="1">
      <c r="B81" s="38"/>
      <c r="C81" s="39" t="s">
        <v>88</v>
      </c>
      <c r="D81" s="40">
        <v>26700</v>
      </c>
      <c r="E81" s="41">
        <f t="shared" si="2"/>
        <v>48.682191780821917</v>
      </c>
      <c r="F81" s="42" t="s">
        <v>17</v>
      </c>
      <c r="G81" s="42" t="s">
        <v>20</v>
      </c>
      <c r="H81" s="52"/>
      <c r="I81" s="43"/>
      <c r="J81" s="11">
        <f t="shared" si="3"/>
        <v>44469</v>
      </c>
      <c r="L81" s="12" t="s">
        <v>12</v>
      </c>
      <c r="N81" s="12" t="s">
        <v>13</v>
      </c>
    </row>
    <row r="82" spans="2:14" ht="16.5" customHeight="1" thickTop="1">
      <c r="B82" s="13">
        <v>22</v>
      </c>
      <c r="C82" s="14" t="s">
        <v>89</v>
      </c>
      <c r="D82" s="37">
        <v>26187</v>
      </c>
      <c r="E82" s="16">
        <f t="shared" si="2"/>
        <v>50.087671232876716</v>
      </c>
      <c r="F82" s="17" t="s">
        <v>15</v>
      </c>
      <c r="G82" s="17" t="s">
        <v>12</v>
      </c>
      <c r="H82" s="50">
        <v>3</v>
      </c>
      <c r="I82" s="18"/>
      <c r="J82" s="11">
        <f t="shared" si="3"/>
        <v>44469</v>
      </c>
      <c r="L82" s="12"/>
      <c r="N82" s="12"/>
    </row>
    <row r="83" spans="2:14" ht="16.5" customHeight="1">
      <c r="B83" s="19"/>
      <c r="C83" s="20" t="s">
        <v>90</v>
      </c>
      <c r="D83" s="21">
        <v>26067</v>
      </c>
      <c r="E83" s="22">
        <f t="shared" si="2"/>
        <v>50.416438356164385</v>
      </c>
      <c r="F83" s="23" t="s">
        <v>17</v>
      </c>
      <c r="G83" s="23" t="s">
        <v>20</v>
      </c>
      <c r="H83" s="51"/>
      <c r="I83" s="24"/>
      <c r="J83" s="11">
        <f t="shared" si="3"/>
        <v>44469</v>
      </c>
      <c r="L83" s="12"/>
      <c r="N83" s="12"/>
    </row>
    <row r="84" spans="2:14" ht="16.5" customHeight="1" thickBot="1">
      <c r="B84" s="25"/>
      <c r="C84" s="26" t="s">
        <v>91</v>
      </c>
      <c r="D84" s="27">
        <v>20607</v>
      </c>
      <c r="E84" s="28">
        <f t="shared" si="2"/>
        <v>65.37534246575342</v>
      </c>
      <c r="F84" s="29" t="s">
        <v>17</v>
      </c>
      <c r="G84" s="29" t="s">
        <v>92</v>
      </c>
      <c r="H84" s="52"/>
      <c r="I84" s="30"/>
      <c r="J84" s="11">
        <f t="shared" si="3"/>
        <v>44469</v>
      </c>
      <c r="L84" s="12" t="s">
        <v>12</v>
      </c>
      <c r="N84" s="12" t="s">
        <v>13</v>
      </c>
    </row>
    <row r="85" spans="2:14" ht="16.5" customHeight="1" thickTop="1">
      <c r="B85" s="44">
        <v>23</v>
      </c>
      <c r="C85" s="45" t="s">
        <v>93</v>
      </c>
      <c r="D85" s="46">
        <v>21848</v>
      </c>
      <c r="E85" s="47">
        <f t="shared" si="2"/>
        <v>61.975342465753428</v>
      </c>
      <c r="F85" s="48" t="s">
        <v>15</v>
      </c>
      <c r="G85" s="48" t="s">
        <v>12</v>
      </c>
      <c r="H85" s="50">
        <v>3</v>
      </c>
      <c r="I85" s="49"/>
      <c r="J85" s="11">
        <f t="shared" si="3"/>
        <v>44469</v>
      </c>
      <c r="L85" s="12"/>
      <c r="N85" s="12"/>
    </row>
    <row r="86" spans="2:14" ht="16.5" customHeight="1">
      <c r="B86" s="19"/>
      <c r="C86" s="20" t="s">
        <v>94</v>
      </c>
      <c r="D86" s="21">
        <v>35245</v>
      </c>
      <c r="E86" s="22">
        <f t="shared" si="2"/>
        <v>25.271232876712329</v>
      </c>
      <c r="F86" s="23" t="s">
        <v>17</v>
      </c>
      <c r="G86" s="23" t="s">
        <v>20</v>
      </c>
      <c r="H86" s="51"/>
      <c r="I86" s="24">
        <v>23</v>
      </c>
      <c r="J86" s="11">
        <f t="shared" si="3"/>
        <v>44469</v>
      </c>
      <c r="L86" s="12"/>
      <c r="N86" s="12"/>
    </row>
    <row r="87" spans="2:14" ht="16.5" customHeight="1" thickBot="1">
      <c r="B87" s="25"/>
      <c r="C87" s="26" t="s">
        <v>95</v>
      </c>
      <c r="D87" s="27">
        <v>38026</v>
      </c>
      <c r="E87" s="28">
        <f t="shared" si="2"/>
        <v>17.652054794520549</v>
      </c>
      <c r="F87" s="29" t="s">
        <v>15</v>
      </c>
      <c r="G87" s="29" t="s">
        <v>20</v>
      </c>
      <c r="H87" s="52"/>
      <c r="I87" s="30">
        <v>23</v>
      </c>
      <c r="J87" s="11">
        <f t="shared" si="3"/>
        <v>44469</v>
      </c>
      <c r="L87" s="12" t="s">
        <v>12</v>
      </c>
      <c r="N87" s="12" t="s">
        <v>13</v>
      </c>
    </row>
    <row r="88" spans="2:14" ht="16.5" customHeight="1" thickTop="1">
      <c r="B88" s="13">
        <v>24</v>
      </c>
      <c r="C88" s="56" t="s">
        <v>202</v>
      </c>
      <c r="D88" s="57" t="s">
        <v>96</v>
      </c>
      <c r="E88" s="16">
        <f t="shared" si="2"/>
        <v>62.057534246575344</v>
      </c>
      <c r="F88" s="17" t="s">
        <v>15</v>
      </c>
      <c r="G88" s="17" t="s">
        <v>12</v>
      </c>
      <c r="H88" s="50">
        <v>2</v>
      </c>
      <c r="I88" s="18"/>
      <c r="J88" s="11">
        <f t="shared" si="3"/>
        <v>44469</v>
      </c>
      <c r="L88" s="12"/>
      <c r="N88" s="12"/>
    </row>
    <row r="89" spans="2:14" ht="16.5" customHeight="1" thickBot="1">
      <c r="B89" s="25"/>
      <c r="C89" s="58" t="s">
        <v>203</v>
      </c>
      <c r="D89" s="59" t="s">
        <v>97</v>
      </c>
      <c r="E89" s="28">
        <f t="shared" si="2"/>
        <v>55.443835616438356</v>
      </c>
      <c r="F89" s="29" t="s">
        <v>17</v>
      </c>
      <c r="G89" s="29" t="s">
        <v>18</v>
      </c>
      <c r="H89" s="52"/>
      <c r="I89" s="30"/>
      <c r="J89" s="11">
        <f t="shared" si="3"/>
        <v>44469</v>
      </c>
      <c r="L89" s="12" t="s">
        <v>12</v>
      </c>
      <c r="N89" s="12" t="s">
        <v>12</v>
      </c>
    </row>
    <row r="90" spans="2:14" ht="16.5" customHeight="1" thickTop="1">
      <c r="B90" s="13">
        <v>25</v>
      </c>
      <c r="C90" s="14" t="s">
        <v>98</v>
      </c>
      <c r="D90" s="37">
        <v>33622</v>
      </c>
      <c r="E90" s="16">
        <f t="shared" si="2"/>
        <v>29.717808219178082</v>
      </c>
      <c r="F90" s="17" t="s">
        <v>15</v>
      </c>
      <c r="G90" s="17" t="s">
        <v>12</v>
      </c>
      <c r="H90" s="50">
        <v>2</v>
      </c>
      <c r="I90" s="18"/>
      <c r="J90" s="11">
        <f t="shared" si="3"/>
        <v>44469</v>
      </c>
      <c r="L90" s="12"/>
      <c r="N90" s="12"/>
    </row>
    <row r="91" spans="2:14" ht="16.5" customHeight="1" thickBot="1">
      <c r="B91" s="25"/>
      <c r="C91" s="26" t="s">
        <v>99</v>
      </c>
      <c r="D91" s="27">
        <v>34363</v>
      </c>
      <c r="E91" s="28">
        <f t="shared" si="2"/>
        <v>27.687671232876713</v>
      </c>
      <c r="F91" s="29" t="s">
        <v>17</v>
      </c>
      <c r="G91" s="29" t="s">
        <v>18</v>
      </c>
      <c r="H91" s="52"/>
      <c r="I91" s="30"/>
      <c r="J91" s="11">
        <f t="shared" si="3"/>
        <v>44469</v>
      </c>
      <c r="L91" s="12" t="s">
        <v>12</v>
      </c>
      <c r="N91" s="12" t="s">
        <v>13</v>
      </c>
    </row>
    <row r="92" spans="2:14" ht="16.5" customHeight="1" thickTop="1">
      <c r="B92" s="13"/>
      <c r="C92" s="14"/>
      <c r="D92" s="37"/>
      <c r="E92" s="16"/>
      <c r="F92" s="17"/>
      <c r="G92" s="17"/>
      <c r="H92" s="50"/>
      <c r="I92" s="18"/>
      <c r="J92" s="11">
        <f t="shared" si="3"/>
        <v>44469</v>
      </c>
      <c r="L92" s="12"/>
      <c r="N92" s="12"/>
    </row>
    <row r="93" spans="2:14" ht="16.5" customHeight="1">
      <c r="B93" s="19">
        <v>26</v>
      </c>
      <c r="C93" s="20" t="s">
        <v>100</v>
      </c>
      <c r="D93" s="21">
        <v>34881</v>
      </c>
      <c r="E93" s="22">
        <f t="shared" si="2"/>
        <v>26.268493150684932</v>
      </c>
      <c r="F93" s="23" t="s">
        <v>17</v>
      </c>
      <c r="G93" s="23" t="s">
        <v>12</v>
      </c>
      <c r="H93" s="51"/>
      <c r="I93" s="24"/>
      <c r="J93" s="11">
        <f t="shared" si="3"/>
        <v>44469</v>
      </c>
      <c r="L93" s="12"/>
      <c r="N93" s="12"/>
    </row>
    <row r="94" spans="2:14" ht="16.5" customHeight="1" thickBot="1">
      <c r="B94" s="25"/>
      <c r="C94" s="26" t="s">
        <v>101</v>
      </c>
      <c r="D94" s="27">
        <v>35368</v>
      </c>
      <c r="E94" s="41">
        <f>INT((J93-D94))/365</f>
        <v>24.934246575342467</v>
      </c>
      <c r="F94" s="29" t="s">
        <v>17</v>
      </c>
      <c r="G94" s="29" t="s">
        <v>84</v>
      </c>
      <c r="H94" s="52"/>
      <c r="I94" s="30"/>
      <c r="J94" s="11">
        <f>J93</f>
        <v>44469</v>
      </c>
      <c r="L94" s="12" t="s">
        <v>12</v>
      </c>
      <c r="N94" s="12" t="s">
        <v>13</v>
      </c>
    </row>
    <row r="95" spans="2:14" ht="16.5" customHeight="1" thickTop="1">
      <c r="B95" s="13">
        <v>27</v>
      </c>
      <c r="C95" s="14" t="s">
        <v>102</v>
      </c>
      <c r="D95" s="17"/>
      <c r="E95" s="16">
        <f t="shared" si="2"/>
        <v>121.83287671232877</v>
      </c>
      <c r="F95" s="17" t="s">
        <v>15</v>
      </c>
      <c r="G95" s="17" t="s">
        <v>12</v>
      </c>
      <c r="H95" s="50">
        <v>3</v>
      </c>
      <c r="I95" s="18"/>
      <c r="J95" s="11">
        <f t="shared" si="3"/>
        <v>44469</v>
      </c>
      <c r="L95" s="12"/>
      <c r="N95" s="12"/>
    </row>
    <row r="96" spans="2:14" ht="16.5" customHeight="1">
      <c r="B96" s="19"/>
      <c r="C96" s="60" t="s">
        <v>103</v>
      </c>
      <c r="D96" s="23"/>
      <c r="E96" s="22">
        <f t="shared" si="2"/>
        <v>121.83287671232877</v>
      </c>
      <c r="F96" s="23" t="s">
        <v>17</v>
      </c>
      <c r="G96" s="23" t="s">
        <v>18</v>
      </c>
      <c r="H96" s="51"/>
      <c r="I96" s="24"/>
      <c r="J96" s="11">
        <f t="shared" si="3"/>
        <v>44469</v>
      </c>
      <c r="L96" s="12"/>
      <c r="N96" s="12"/>
    </row>
    <row r="97" spans="1:14" ht="16.5" customHeight="1" thickBot="1">
      <c r="B97" s="25"/>
      <c r="C97" s="61"/>
      <c r="D97" s="29"/>
      <c r="E97" s="28"/>
      <c r="F97" s="29"/>
      <c r="G97" s="29"/>
      <c r="H97" s="52"/>
      <c r="I97" s="30"/>
      <c r="J97" s="11">
        <f t="shared" si="3"/>
        <v>44469</v>
      </c>
      <c r="L97" s="12" t="s">
        <v>12</v>
      </c>
      <c r="N97" s="12" t="s">
        <v>13</v>
      </c>
    </row>
    <row r="98" spans="1:14" ht="16.5" customHeight="1" thickTop="1">
      <c r="A98">
        <v>6</v>
      </c>
      <c r="B98" s="13">
        <v>28</v>
      </c>
      <c r="C98" s="14" t="s">
        <v>104</v>
      </c>
      <c r="D98" s="37">
        <v>25913</v>
      </c>
      <c r="E98" s="16">
        <f>INT((J97-D98))/365</f>
        <v>50.838356164383562</v>
      </c>
      <c r="F98" s="17" t="s">
        <v>17</v>
      </c>
      <c r="G98" s="17" t="s">
        <v>12</v>
      </c>
      <c r="H98" s="50">
        <v>3</v>
      </c>
      <c r="I98" s="18"/>
      <c r="J98" s="11">
        <f t="shared" si="3"/>
        <v>44469</v>
      </c>
      <c r="L98" s="12"/>
      <c r="N98" s="12"/>
    </row>
    <row r="99" spans="1:14" ht="16.5" customHeight="1">
      <c r="B99" s="19"/>
      <c r="C99" s="20" t="s">
        <v>105</v>
      </c>
      <c r="D99" s="21">
        <v>35561</v>
      </c>
      <c r="E99" s="22">
        <f>INT((J98-D99))/365</f>
        <v>24.405479452054795</v>
      </c>
      <c r="F99" s="23" t="s">
        <v>15</v>
      </c>
      <c r="G99" s="23" t="s">
        <v>20</v>
      </c>
      <c r="H99" s="51"/>
      <c r="I99" s="24">
        <v>28</v>
      </c>
      <c r="J99" s="11">
        <f t="shared" si="3"/>
        <v>44469</v>
      </c>
      <c r="L99" s="12"/>
      <c r="N99" s="12"/>
    </row>
    <row r="100" spans="1:14" ht="16.5" customHeight="1" thickBot="1">
      <c r="B100" s="25"/>
      <c r="C100" s="26" t="s">
        <v>106</v>
      </c>
      <c r="D100" s="27">
        <v>37823</v>
      </c>
      <c r="E100" s="28">
        <f>INT((J99-D100))/365</f>
        <v>18.208219178082192</v>
      </c>
      <c r="F100" s="29" t="s">
        <v>15</v>
      </c>
      <c r="G100" s="29" t="s">
        <v>20</v>
      </c>
      <c r="H100" s="52"/>
      <c r="I100" s="30">
        <v>28</v>
      </c>
      <c r="J100" s="11">
        <f t="shared" si="3"/>
        <v>44469</v>
      </c>
      <c r="L100" s="12" t="s">
        <v>12</v>
      </c>
      <c r="N100" s="12" t="s">
        <v>13</v>
      </c>
    </row>
    <row r="101" spans="1:14" ht="16.5" customHeight="1" thickTop="1">
      <c r="B101" s="13"/>
      <c r="C101" s="14"/>
      <c r="D101" s="17"/>
      <c r="E101" s="16"/>
      <c r="F101" s="17"/>
      <c r="G101" s="17"/>
      <c r="H101" s="50">
        <v>5</v>
      </c>
      <c r="I101" s="18"/>
      <c r="J101" s="11">
        <f t="shared" si="3"/>
        <v>44469</v>
      </c>
      <c r="L101" s="12"/>
      <c r="N101" s="12"/>
    </row>
    <row r="102" spans="1:14" ht="16.5" customHeight="1">
      <c r="B102" s="19">
        <v>29</v>
      </c>
      <c r="C102" s="20" t="s">
        <v>107</v>
      </c>
      <c r="D102" s="23"/>
      <c r="E102" s="22"/>
      <c r="F102" s="23" t="s">
        <v>17</v>
      </c>
      <c r="G102" s="23" t="s">
        <v>12</v>
      </c>
      <c r="H102" s="51"/>
      <c r="I102" s="24"/>
      <c r="J102" s="11">
        <f t="shared" si="3"/>
        <v>44469</v>
      </c>
      <c r="L102" s="12"/>
      <c r="N102" s="12"/>
    </row>
    <row r="103" spans="1:14" ht="16.5" customHeight="1">
      <c r="B103" s="19"/>
      <c r="C103" s="20"/>
      <c r="D103" s="23"/>
      <c r="E103" s="22"/>
      <c r="F103" s="23"/>
      <c r="G103" s="23"/>
      <c r="H103" s="51"/>
      <c r="I103" s="24"/>
      <c r="J103" s="11">
        <f t="shared" si="3"/>
        <v>44469</v>
      </c>
      <c r="L103" s="12"/>
      <c r="N103" s="12"/>
    </row>
    <row r="104" spans="1:14" ht="16.5" customHeight="1" thickBot="1">
      <c r="B104" s="25"/>
      <c r="C104" s="26"/>
      <c r="D104" s="29"/>
      <c r="E104" s="28"/>
      <c r="F104" s="29"/>
      <c r="G104" s="29"/>
      <c r="H104" s="52"/>
      <c r="I104" s="30"/>
      <c r="J104" s="11">
        <f t="shared" si="3"/>
        <v>44469</v>
      </c>
      <c r="L104" s="12" t="s">
        <v>12</v>
      </c>
      <c r="N104" s="12" t="s">
        <v>13</v>
      </c>
    </row>
    <row r="105" spans="1:14" ht="16.5" customHeight="1" thickTop="1">
      <c r="B105" s="13">
        <v>30</v>
      </c>
      <c r="C105" s="14" t="s">
        <v>108</v>
      </c>
      <c r="D105" s="37">
        <v>20633</v>
      </c>
      <c r="E105" s="16">
        <f>INT((J104-D105))/365</f>
        <v>65.30410958904109</v>
      </c>
      <c r="F105" s="17" t="s">
        <v>15</v>
      </c>
      <c r="G105" s="17"/>
      <c r="H105" s="50">
        <v>2</v>
      </c>
      <c r="I105" s="18"/>
      <c r="J105" s="11">
        <f>J104</f>
        <v>44469</v>
      </c>
      <c r="L105" s="12"/>
      <c r="N105" s="12"/>
    </row>
    <row r="106" spans="1:14" ht="16.5" customHeight="1" thickBot="1">
      <c r="B106" s="25"/>
      <c r="C106" s="26" t="s">
        <v>109</v>
      </c>
      <c r="D106" s="27">
        <v>22450</v>
      </c>
      <c r="E106" s="28">
        <f t="shared" ref="E106:E159" si="4">INT((J105-D106))/365</f>
        <v>60.326027397260276</v>
      </c>
      <c r="F106" s="29" t="s">
        <v>17</v>
      </c>
      <c r="G106" s="29"/>
      <c r="H106" s="52"/>
      <c r="I106" s="30"/>
      <c r="J106" s="11">
        <f t="shared" si="3"/>
        <v>44469</v>
      </c>
      <c r="L106" s="12" t="s">
        <v>12</v>
      </c>
      <c r="N106" s="12" t="s">
        <v>13</v>
      </c>
    </row>
    <row r="107" spans="1:14" ht="16.5" customHeight="1" thickTop="1">
      <c r="B107" s="13">
        <v>31</v>
      </c>
      <c r="C107" s="14" t="s">
        <v>110</v>
      </c>
      <c r="D107" s="37">
        <v>25833</v>
      </c>
      <c r="E107" s="16">
        <f t="shared" si="4"/>
        <v>51.057534246575344</v>
      </c>
      <c r="F107" s="17" t="s">
        <v>15</v>
      </c>
      <c r="G107" s="17" t="s">
        <v>12</v>
      </c>
      <c r="H107" s="50">
        <v>4</v>
      </c>
      <c r="I107" s="18"/>
      <c r="J107" s="11">
        <f t="shared" si="3"/>
        <v>44469</v>
      </c>
      <c r="L107" s="12"/>
      <c r="N107" s="12"/>
    </row>
    <row r="108" spans="1:14" ht="16.5" customHeight="1">
      <c r="B108" s="19"/>
      <c r="C108" s="20" t="s">
        <v>111</v>
      </c>
      <c r="D108" s="21">
        <v>27442</v>
      </c>
      <c r="E108" s="22">
        <f t="shared" si="4"/>
        <v>46.649315068493152</v>
      </c>
      <c r="F108" s="23" t="s">
        <v>17</v>
      </c>
      <c r="G108" s="23" t="s">
        <v>18</v>
      </c>
      <c r="H108" s="51"/>
      <c r="I108" s="24"/>
      <c r="J108" s="11">
        <f t="shared" si="3"/>
        <v>44469</v>
      </c>
      <c r="L108" s="12"/>
      <c r="N108" s="12"/>
    </row>
    <row r="109" spans="1:14" ht="16.5" customHeight="1">
      <c r="B109" s="19"/>
      <c r="C109" s="20" t="s">
        <v>112</v>
      </c>
      <c r="D109" s="21">
        <v>37439</v>
      </c>
      <c r="E109" s="22">
        <f t="shared" si="4"/>
        <v>19.260273972602739</v>
      </c>
      <c r="F109" s="23" t="s">
        <v>15</v>
      </c>
      <c r="G109" s="23" t="s">
        <v>20</v>
      </c>
      <c r="H109" s="51"/>
      <c r="I109" s="24">
        <v>31</v>
      </c>
      <c r="J109" s="11">
        <f t="shared" si="3"/>
        <v>44469</v>
      </c>
      <c r="L109" s="12"/>
      <c r="N109" s="12"/>
    </row>
    <row r="110" spans="1:14" ht="16.5" customHeight="1" thickBot="1">
      <c r="B110" s="25"/>
      <c r="C110" s="26" t="s">
        <v>113</v>
      </c>
      <c r="D110" s="27">
        <v>38996</v>
      </c>
      <c r="E110" s="28">
        <f t="shared" si="4"/>
        <v>14.994520547945205</v>
      </c>
      <c r="F110" s="29" t="s">
        <v>17</v>
      </c>
      <c r="G110" s="29" t="s">
        <v>20</v>
      </c>
      <c r="H110" s="52"/>
      <c r="I110" s="30">
        <v>31</v>
      </c>
      <c r="J110" s="11">
        <f t="shared" si="3"/>
        <v>44469</v>
      </c>
      <c r="L110" s="12" t="s">
        <v>12</v>
      </c>
      <c r="N110" s="12" t="s">
        <v>13</v>
      </c>
    </row>
    <row r="111" spans="1:14" ht="16.5" customHeight="1" thickTop="1">
      <c r="B111" s="13"/>
      <c r="C111" s="14"/>
      <c r="D111" s="37"/>
      <c r="E111" s="16"/>
      <c r="F111" s="17"/>
      <c r="G111" s="17"/>
      <c r="H111" s="17">
        <v>6</v>
      </c>
      <c r="I111" s="18"/>
      <c r="J111" s="11">
        <f t="shared" si="3"/>
        <v>44469</v>
      </c>
      <c r="L111" s="12"/>
      <c r="N111" s="12"/>
    </row>
    <row r="112" spans="1:14" ht="16.5" customHeight="1">
      <c r="B112" s="19">
        <v>32</v>
      </c>
      <c r="C112" s="20" t="s">
        <v>114</v>
      </c>
      <c r="D112" s="21">
        <v>28602</v>
      </c>
      <c r="E112" s="22">
        <f>INT((J111-D112))/365</f>
        <v>43.471232876712328</v>
      </c>
      <c r="F112" s="23" t="s">
        <v>17</v>
      </c>
      <c r="G112" s="23" t="s">
        <v>12</v>
      </c>
      <c r="H112" s="23"/>
      <c r="I112" s="24"/>
      <c r="J112" s="11">
        <f>J111</f>
        <v>44469</v>
      </c>
      <c r="L112" s="12"/>
      <c r="N112" s="12"/>
    </row>
    <row r="113" spans="2:14" ht="16.5" customHeight="1">
      <c r="B113" s="19"/>
      <c r="C113" s="20" t="s">
        <v>115</v>
      </c>
      <c r="D113" s="21">
        <v>36442</v>
      </c>
      <c r="E113" s="22">
        <f t="shared" si="4"/>
        <v>21.991780821917807</v>
      </c>
      <c r="F113" s="23" t="s">
        <v>15</v>
      </c>
      <c r="G113" s="23" t="s">
        <v>20</v>
      </c>
      <c r="H113" s="23"/>
      <c r="I113" s="24"/>
      <c r="J113" s="11">
        <f t="shared" si="3"/>
        <v>44469</v>
      </c>
      <c r="L113" s="12"/>
      <c r="N113" s="12"/>
    </row>
    <row r="114" spans="2:14" ht="16.5" customHeight="1">
      <c r="B114" s="19"/>
      <c r="C114" s="20" t="s">
        <v>116</v>
      </c>
      <c r="D114" s="21">
        <v>37985</v>
      </c>
      <c r="E114" s="22">
        <f t="shared" si="4"/>
        <v>17.764383561643836</v>
      </c>
      <c r="F114" s="23" t="s">
        <v>17</v>
      </c>
      <c r="G114" s="23" t="s">
        <v>20</v>
      </c>
      <c r="H114" s="23"/>
      <c r="I114" s="24">
        <v>32</v>
      </c>
      <c r="J114" s="11">
        <f t="shared" si="3"/>
        <v>44469</v>
      </c>
      <c r="L114" s="12"/>
      <c r="N114" s="12"/>
    </row>
    <row r="115" spans="2:14" ht="16.5" customHeight="1">
      <c r="B115" s="19"/>
      <c r="C115" s="20" t="s">
        <v>117</v>
      </c>
      <c r="D115" s="21">
        <v>40782</v>
      </c>
      <c r="E115" s="22">
        <f t="shared" si="4"/>
        <v>10.101369863013698</v>
      </c>
      <c r="F115" s="23" t="s">
        <v>15</v>
      </c>
      <c r="G115" s="23" t="s">
        <v>20</v>
      </c>
      <c r="H115" s="23"/>
      <c r="I115" s="24"/>
      <c r="J115" s="11">
        <f t="shared" si="3"/>
        <v>44469</v>
      </c>
      <c r="L115" s="12"/>
      <c r="N115" s="12"/>
    </row>
    <row r="116" spans="2:14" ht="16.5" customHeight="1" thickBot="1">
      <c r="B116" s="25"/>
      <c r="C116" s="26" t="s">
        <v>118</v>
      </c>
      <c r="D116" s="27">
        <v>43428</v>
      </c>
      <c r="E116" s="28">
        <f t="shared" si="4"/>
        <v>2.8520547945205479</v>
      </c>
      <c r="F116" s="29" t="s">
        <v>17</v>
      </c>
      <c r="G116" s="29" t="s">
        <v>20</v>
      </c>
      <c r="H116" s="29"/>
      <c r="I116" s="30"/>
      <c r="J116" s="11">
        <f t="shared" si="3"/>
        <v>44469</v>
      </c>
      <c r="L116" s="12" t="s">
        <v>12</v>
      </c>
      <c r="N116" s="12" t="s">
        <v>13</v>
      </c>
    </row>
    <row r="117" spans="2:14" ht="16.5" customHeight="1" thickTop="1" thickBot="1">
      <c r="B117" s="31">
        <v>33</v>
      </c>
      <c r="C117" s="32" t="s">
        <v>119</v>
      </c>
      <c r="D117" s="33">
        <v>18598</v>
      </c>
      <c r="E117" s="34">
        <f t="shared" si="4"/>
        <v>70.879452054794527</v>
      </c>
      <c r="F117" s="35" t="s">
        <v>15</v>
      </c>
      <c r="G117" s="35"/>
      <c r="H117" s="35">
        <v>1</v>
      </c>
      <c r="I117" s="36"/>
      <c r="J117" s="11">
        <f t="shared" si="3"/>
        <v>44469</v>
      </c>
      <c r="L117" s="12" t="s">
        <v>12</v>
      </c>
      <c r="N117" s="12" t="s">
        <v>13</v>
      </c>
    </row>
    <row r="118" spans="2:14" ht="16.5" customHeight="1" thickTop="1">
      <c r="B118" s="13">
        <v>34</v>
      </c>
      <c r="C118" s="14" t="s">
        <v>120</v>
      </c>
      <c r="D118" s="37">
        <v>31916</v>
      </c>
      <c r="E118" s="16">
        <f t="shared" si="4"/>
        <v>34.391780821917806</v>
      </c>
      <c r="F118" s="17" t="s">
        <v>15</v>
      </c>
      <c r="G118" s="17" t="s">
        <v>12</v>
      </c>
      <c r="H118" s="50">
        <v>4</v>
      </c>
      <c r="I118" s="18"/>
      <c r="J118" s="11">
        <f t="shared" si="3"/>
        <v>44469</v>
      </c>
      <c r="L118" s="12"/>
      <c r="N118" s="12"/>
    </row>
    <row r="119" spans="2:14" ht="16.5" customHeight="1">
      <c r="B119" s="19"/>
      <c r="C119" s="20" t="s">
        <v>121</v>
      </c>
      <c r="D119" s="21">
        <v>31875</v>
      </c>
      <c r="E119" s="22">
        <f t="shared" si="4"/>
        <v>34.504109589041093</v>
      </c>
      <c r="F119" s="23" t="s">
        <v>17</v>
      </c>
      <c r="G119" s="23" t="s">
        <v>18</v>
      </c>
      <c r="H119" s="51"/>
      <c r="I119" s="24"/>
      <c r="J119" s="11">
        <f t="shared" si="3"/>
        <v>44469</v>
      </c>
      <c r="L119" s="12"/>
      <c r="N119" s="12"/>
    </row>
    <row r="120" spans="2:14" ht="16.5" customHeight="1">
      <c r="B120" s="19"/>
      <c r="C120" s="20" t="s">
        <v>122</v>
      </c>
      <c r="D120" s="21">
        <v>40859</v>
      </c>
      <c r="E120" s="22">
        <f t="shared" si="4"/>
        <v>9.8904109589041092</v>
      </c>
      <c r="F120" s="23" t="s">
        <v>15</v>
      </c>
      <c r="G120" s="23" t="s">
        <v>20</v>
      </c>
      <c r="H120" s="51"/>
      <c r="I120" s="24"/>
      <c r="J120" s="11">
        <f t="shared" si="3"/>
        <v>44469</v>
      </c>
      <c r="L120" s="12"/>
      <c r="N120" s="12"/>
    </row>
    <row r="121" spans="2:14" ht="16.5" customHeight="1" thickBot="1">
      <c r="B121" s="25"/>
      <c r="C121" s="26" t="s">
        <v>123</v>
      </c>
      <c r="D121" s="27">
        <v>22539</v>
      </c>
      <c r="E121" s="28">
        <f t="shared" si="4"/>
        <v>60.082191780821915</v>
      </c>
      <c r="F121" s="29" t="s">
        <v>17</v>
      </c>
      <c r="G121" s="29" t="s">
        <v>92</v>
      </c>
      <c r="H121" s="52"/>
      <c r="I121" s="30"/>
      <c r="J121" s="11">
        <f t="shared" si="3"/>
        <v>44469</v>
      </c>
      <c r="L121" s="12" t="s">
        <v>12</v>
      </c>
      <c r="N121" s="12" t="s">
        <v>13</v>
      </c>
    </row>
    <row r="122" spans="2:14" ht="16.5" customHeight="1" thickTop="1">
      <c r="B122" s="13">
        <v>35</v>
      </c>
      <c r="C122" s="14" t="s">
        <v>124</v>
      </c>
      <c r="D122" s="37">
        <v>27286</v>
      </c>
      <c r="E122" s="16">
        <f t="shared" si="4"/>
        <v>47.076712328767123</v>
      </c>
      <c r="F122" s="17" t="s">
        <v>15</v>
      </c>
      <c r="G122" s="17" t="s">
        <v>12</v>
      </c>
      <c r="H122" s="17">
        <v>5</v>
      </c>
      <c r="I122" s="18"/>
      <c r="J122" s="11">
        <f t="shared" si="3"/>
        <v>44469</v>
      </c>
      <c r="L122" s="12"/>
      <c r="N122" s="12"/>
    </row>
    <row r="123" spans="2:14" ht="16.5" customHeight="1">
      <c r="B123" s="19"/>
      <c r="C123" s="20" t="s">
        <v>125</v>
      </c>
      <c r="D123" s="21">
        <v>27638</v>
      </c>
      <c r="E123" s="22">
        <f t="shared" si="4"/>
        <v>46.112328767123287</v>
      </c>
      <c r="F123" s="23" t="s">
        <v>17</v>
      </c>
      <c r="G123" s="23" t="s">
        <v>18</v>
      </c>
      <c r="H123" s="23"/>
      <c r="I123" s="24"/>
      <c r="J123" s="11">
        <f t="shared" si="3"/>
        <v>44469</v>
      </c>
      <c r="L123" s="12"/>
      <c r="N123" s="12"/>
    </row>
    <row r="124" spans="2:14" ht="16.5" customHeight="1">
      <c r="B124" s="19"/>
      <c r="C124" s="20" t="s">
        <v>126</v>
      </c>
      <c r="D124" s="21">
        <v>37592</v>
      </c>
      <c r="E124" s="22">
        <f t="shared" si="4"/>
        <v>18.841095890410958</v>
      </c>
      <c r="F124" s="23" t="s">
        <v>15</v>
      </c>
      <c r="G124" s="23" t="s">
        <v>20</v>
      </c>
      <c r="H124" s="23"/>
      <c r="I124" s="24">
        <v>35</v>
      </c>
      <c r="J124" s="11">
        <f t="shared" si="3"/>
        <v>44469</v>
      </c>
      <c r="L124" s="12"/>
      <c r="N124" s="12"/>
    </row>
    <row r="125" spans="2:14" ht="16.5" customHeight="1">
      <c r="B125" s="19"/>
      <c r="C125" s="20" t="s">
        <v>127</v>
      </c>
      <c r="D125" s="21">
        <v>39646</v>
      </c>
      <c r="E125" s="22">
        <f t="shared" si="4"/>
        <v>13.213698630136987</v>
      </c>
      <c r="F125" s="23" t="s">
        <v>17</v>
      </c>
      <c r="G125" s="23" t="s">
        <v>20</v>
      </c>
      <c r="H125" s="23"/>
      <c r="I125" s="24">
        <v>35</v>
      </c>
      <c r="J125" s="11">
        <f t="shared" si="3"/>
        <v>44469</v>
      </c>
      <c r="L125" s="12"/>
      <c r="N125" s="12"/>
    </row>
    <row r="126" spans="2:14" ht="16.5" customHeight="1" thickBot="1">
      <c r="B126" s="25"/>
      <c r="C126" s="26" t="s">
        <v>128</v>
      </c>
      <c r="D126" s="27">
        <v>42080</v>
      </c>
      <c r="E126" s="28">
        <f t="shared" si="4"/>
        <v>6.5452054794520551</v>
      </c>
      <c r="F126" s="29" t="s">
        <v>17</v>
      </c>
      <c r="G126" s="29" t="s">
        <v>20</v>
      </c>
      <c r="H126" s="29"/>
      <c r="I126" s="30"/>
      <c r="J126" s="11">
        <f t="shared" si="3"/>
        <v>44469</v>
      </c>
      <c r="L126" s="12" t="s">
        <v>12</v>
      </c>
      <c r="N126" s="12" t="s">
        <v>13</v>
      </c>
    </row>
    <row r="127" spans="2:14" ht="16.5" customHeight="1" thickTop="1">
      <c r="B127" s="13">
        <v>36</v>
      </c>
      <c r="C127" s="14" t="s">
        <v>129</v>
      </c>
      <c r="D127" s="37">
        <v>26855</v>
      </c>
      <c r="E127" s="16">
        <f t="shared" si="4"/>
        <v>48.257534246575339</v>
      </c>
      <c r="F127" s="17" t="s">
        <v>15</v>
      </c>
      <c r="G127" s="17" t="s">
        <v>12</v>
      </c>
      <c r="H127" s="50">
        <v>2</v>
      </c>
      <c r="I127" s="18"/>
      <c r="J127" s="11">
        <f t="shared" si="3"/>
        <v>44469</v>
      </c>
      <c r="L127" s="12"/>
      <c r="N127" s="12"/>
    </row>
    <row r="128" spans="2:14" ht="16.5" customHeight="1" thickBot="1">
      <c r="B128" s="25"/>
      <c r="C128" s="26" t="s">
        <v>130</v>
      </c>
      <c r="D128" s="27">
        <v>25322</v>
      </c>
      <c r="E128" s="28">
        <f t="shared" si="4"/>
        <v>52.457534246575342</v>
      </c>
      <c r="F128" s="29" t="s">
        <v>17</v>
      </c>
      <c r="G128" s="29" t="s">
        <v>18</v>
      </c>
      <c r="H128" s="52"/>
      <c r="I128" s="30"/>
      <c r="J128" s="11">
        <f t="shared" si="3"/>
        <v>44469</v>
      </c>
      <c r="L128" s="12" t="s">
        <v>12</v>
      </c>
      <c r="N128" s="12" t="s">
        <v>13</v>
      </c>
    </row>
    <row r="129" spans="1:14" ht="16.5" customHeight="1" thickTop="1">
      <c r="B129" s="13">
        <v>37</v>
      </c>
      <c r="C129" s="14" t="s">
        <v>131</v>
      </c>
      <c r="D129" s="37">
        <v>20941</v>
      </c>
      <c r="E129" s="16">
        <f t="shared" si="4"/>
        <v>64.460273972602735</v>
      </c>
      <c r="F129" s="17" t="s">
        <v>15</v>
      </c>
      <c r="G129" s="17" t="s">
        <v>12</v>
      </c>
      <c r="H129" s="17">
        <v>2</v>
      </c>
      <c r="I129" s="18"/>
      <c r="J129" s="11">
        <f t="shared" si="3"/>
        <v>44469</v>
      </c>
      <c r="L129" s="12"/>
      <c r="N129" s="12"/>
    </row>
    <row r="130" spans="1:14" ht="16.5" customHeight="1" thickBot="1">
      <c r="B130" s="25"/>
      <c r="C130" s="26" t="s">
        <v>132</v>
      </c>
      <c r="D130" s="27">
        <v>21671</v>
      </c>
      <c r="E130" s="28">
        <f t="shared" si="4"/>
        <v>62.460273972602742</v>
      </c>
      <c r="F130" s="29" t="s">
        <v>17</v>
      </c>
      <c r="G130" s="29" t="s">
        <v>18</v>
      </c>
      <c r="H130" s="29"/>
      <c r="I130" s="30"/>
      <c r="J130" s="11">
        <f t="shared" si="3"/>
        <v>44469</v>
      </c>
      <c r="L130" s="12" t="s">
        <v>12</v>
      </c>
      <c r="N130" s="12" t="s">
        <v>13</v>
      </c>
    </row>
    <row r="131" spans="1:14" ht="16.5" customHeight="1" thickTop="1">
      <c r="B131" s="53">
        <v>38</v>
      </c>
      <c r="C131" s="14" t="s">
        <v>133</v>
      </c>
      <c r="D131" s="62">
        <v>29356</v>
      </c>
      <c r="E131" s="16">
        <f t="shared" si="4"/>
        <v>41.405479452054792</v>
      </c>
      <c r="F131" s="13" t="s">
        <v>15</v>
      </c>
      <c r="G131" s="17" t="s">
        <v>12</v>
      </c>
      <c r="H131" s="50">
        <v>4</v>
      </c>
      <c r="I131" s="18"/>
      <c r="J131" s="11">
        <f t="shared" si="3"/>
        <v>44469</v>
      </c>
      <c r="L131" s="12"/>
      <c r="N131" s="12"/>
    </row>
    <row r="132" spans="1:14" ht="16.5" customHeight="1">
      <c r="B132" s="54"/>
      <c r="C132" s="20" t="s">
        <v>134</v>
      </c>
      <c r="D132" s="63">
        <v>29874</v>
      </c>
      <c r="E132" s="22">
        <f t="shared" si="4"/>
        <v>39.986301369863014</v>
      </c>
      <c r="F132" s="19" t="s">
        <v>17</v>
      </c>
      <c r="G132" s="23" t="s">
        <v>18</v>
      </c>
      <c r="H132" s="51"/>
      <c r="I132" s="24"/>
      <c r="J132" s="11">
        <f t="shared" si="3"/>
        <v>44469</v>
      </c>
      <c r="L132" s="12"/>
      <c r="N132" s="12"/>
    </row>
    <row r="133" spans="1:14" ht="16.5" customHeight="1">
      <c r="B133" s="54"/>
      <c r="C133" s="20" t="s">
        <v>135</v>
      </c>
      <c r="D133" s="63">
        <v>39647</v>
      </c>
      <c r="E133" s="22">
        <f t="shared" si="4"/>
        <v>13.210958904109589</v>
      </c>
      <c r="F133" s="19" t="s">
        <v>17</v>
      </c>
      <c r="G133" s="23" t="s">
        <v>20</v>
      </c>
      <c r="H133" s="51"/>
      <c r="I133" s="24">
        <v>38</v>
      </c>
      <c r="J133" s="11">
        <f t="shared" si="3"/>
        <v>44469</v>
      </c>
      <c r="L133" s="12"/>
      <c r="N133" s="12"/>
    </row>
    <row r="134" spans="1:14" ht="16.5" customHeight="1" thickBot="1">
      <c r="B134" s="55"/>
      <c r="C134" s="26" t="s">
        <v>136</v>
      </c>
      <c r="D134" s="64">
        <v>43206</v>
      </c>
      <c r="E134" s="28">
        <f t="shared" si="4"/>
        <v>3.4602739726027396</v>
      </c>
      <c r="F134" s="25" t="s">
        <v>15</v>
      </c>
      <c r="G134" s="29" t="s">
        <v>20</v>
      </c>
      <c r="H134" s="52"/>
      <c r="I134" s="30"/>
      <c r="J134" s="11">
        <f t="shared" si="3"/>
        <v>44469</v>
      </c>
      <c r="L134" s="12"/>
      <c r="N134" s="12"/>
    </row>
    <row r="135" spans="1:14" ht="16.5" customHeight="1" thickTop="1">
      <c r="A135">
        <v>7</v>
      </c>
      <c r="B135" s="13">
        <v>39</v>
      </c>
      <c r="C135" s="14" t="s">
        <v>44</v>
      </c>
      <c r="D135" s="37">
        <v>29999</v>
      </c>
      <c r="E135" s="16">
        <f t="shared" si="4"/>
        <v>39.643835616438359</v>
      </c>
      <c r="F135" s="17" t="s">
        <v>17</v>
      </c>
      <c r="G135" s="17" t="s">
        <v>12</v>
      </c>
      <c r="H135" s="50">
        <v>3</v>
      </c>
      <c r="I135" s="18"/>
      <c r="J135" s="11">
        <f t="shared" si="3"/>
        <v>44469</v>
      </c>
      <c r="L135" s="12"/>
      <c r="N135" s="12"/>
    </row>
    <row r="136" spans="1:14" ht="16.5" customHeight="1">
      <c r="B136" s="19"/>
      <c r="C136" s="20" t="s">
        <v>137</v>
      </c>
      <c r="D136" s="21">
        <v>37830</v>
      </c>
      <c r="E136" s="22">
        <f t="shared" si="4"/>
        <v>18.18904109589041</v>
      </c>
      <c r="F136" s="23" t="s">
        <v>15</v>
      </c>
      <c r="G136" s="23" t="s">
        <v>20</v>
      </c>
      <c r="H136" s="51"/>
      <c r="I136" s="24">
        <v>39</v>
      </c>
      <c r="J136" s="11">
        <f t="shared" si="3"/>
        <v>44469</v>
      </c>
      <c r="L136" s="12"/>
      <c r="N136" s="12"/>
    </row>
    <row r="137" spans="1:14" ht="16.5" customHeight="1" thickBot="1">
      <c r="B137" s="25"/>
      <c r="C137" s="26" t="s">
        <v>138</v>
      </c>
      <c r="D137" s="27">
        <v>41856</v>
      </c>
      <c r="E137" s="28">
        <f t="shared" si="4"/>
        <v>7.1589041095890407</v>
      </c>
      <c r="F137" s="29" t="s">
        <v>15</v>
      </c>
      <c r="G137" s="29" t="s">
        <v>20</v>
      </c>
      <c r="H137" s="52"/>
      <c r="I137" s="30"/>
      <c r="J137" s="11">
        <f t="shared" si="3"/>
        <v>44469</v>
      </c>
      <c r="L137" s="12" t="s">
        <v>12</v>
      </c>
      <c r="N137" s="12" t="s">
        <v>13</v>
      </c>
    </row>
    <row r="138" spans="1:14" ht="16.5" customHeight="1" thickTop="1">
      <c r="B138" s="13">
        <v>40</v>
      </c>
      <c r="C138" s="14" t="s">
        <v>139</v>
      </c>
      <c r="D138" s="37">
        <v>30485</v>
      </c>
      <c r="E138" s="16">
        <f t="shared" si="4"/>
        <v>38.31232876712329</v>
      </c>
      <c r="F138" s="17" t="s">
        <v>15</v>
      </c>
      <c r="G138" s="17" t="s">
        <v>12</v>
      </c>
      <c r="H138" s="17">
        <v>3</v>
      </c>
      <c r="I138" s="18"/>
      <c r="J138" s="11">
        <f t="shared" si="3"/>
        <v>44469</v>
      </c>
      <c r="L138" s="12"/>
      <c r="N138" s="12"/>
    </row>
    <row r="139" spans="1:14" ht="16.5" customHeight="1">
      <c r="B139" s="19"/>
      <c r="C139" s="20" t="s">
        <v>140</v>
      </c>
      <c r="D139" s="21">
        <v>31117</v>
      </c>
      <c r="E139" s="22">
        <f t="shared" si="4"/>
        <v>36.580821917808223</v>
      </c>
      <c r="F139" s="23" t="s">
        <v>17</v>
      </c>
      <c r="G139" s="23" t="s">
        <v>18</v>
      </c>
      <c r="H139" s="23"/>
      <c r="I139" s="24"/>
      <c r="J139" s="11">
        <f t="shared" si="3"/>
        <v>44469</v>
      </c>
      <c r="L139" s="12"/>
      <c r="N139" s="12"/>
    </row>
    <row r="140" spans="1:14" ht="16.5" customHeight="1" thickBot="1">
      <c r="B140" s="25"/>
      <c r="C140" s="26" t="s">
        <v>141</v>
      </c>
      <c r="D140" s="27">
        <v>39940</v>
      </c>
      <c r="E140" s="28">
        <f t="shared" si="4"/>
        <v>12.408219178082192</v>
      </c>
      <c r="F140" s="29" t="s">
        <v>15</v>
      </c>
      <c r="G140" s="29" t="s">
        <v>20</v>
      </c>
      <c r="H140" s="29"/>
      <c r="I140" s="30">
        <v>40</v>
      </c>
      <c r="J140" s="11">
        <f t="shared" ref="J140:J223" si="5">J139</f>
        <v>44469</v>
      </c>
      <c r="L140" s="12"/>
      <c r="N140" s="12"/>
    </row>
    <row r="141" spans="1:14" ht="16.5" customHeight="1" thickTop="1" thickBot="1">
      <c r="A141">
        <v>8</v>
      </c>
      <c r="B141" s="31">
        <v>41</v>
      </c>
      <c r="C141" s="32" t="s">
        <v>142</v>
      </c>
      <c r="D141" s="33">
        <v>21306</v>
      </c>
      <c r="E141" s="34">
        <f t="shared" si="4"/>
        <v>63.460273972602742</v>
      </c>
      <c r="F141" s="35" t="s">
        <v>17</v>
      </c>
      <c r="G141" s="35" t="s">
        <v>12</v>
      </c>
      <c r="H141" s="35">
        <v>1</v>
      </c>
      <c r="I141" s="36"/>
      <c r="J141" s="11">
        <f t="shared" si="5"/>
        <v>44469</v>
      </c>
      <c r="L141" s="12" t="s">
        <v>12</v>
      </c>
      <c r="N141" s="12" t="s">
        <v>13</v>
      </c>
    </row>
    <row r="142" spans="1:14" ht="16.5" customHeight="1" thickTop="1">
      <c r="B142" s="13">
        <v>42</v>
      </c>
      <c r="C142" s="14" t="s">
        <v>143</v>
      </c>
      <c r="D142" s="37">
        <v>27161</v>
      </c>
      <c r="E142" s="16">
        <f t="shared" si="4"/>
        <v>47.419178082191777</v>
      </c>
      <c r="F142" s="17" t="s">
        <v>15</v>
      </c>
      <c r="G142" s="17" t="s">
        <v>12</v>
      </c>
      <c r="H142" s="50">
        <v>4</v>
      </c>
      <c r="I142" s="18"/>
      <c r="J142" s="11">
        <f t="shared" si="5"/>
        <v>44469</v>
      </c>
      <c r="L142" s="12"/>
      <c r="N142" s="12"/>
    </row>
    <row r="143" spans="1:14" ht="16.5" customHeight="1">
      <c r="B143" s="19"/>
      <c r="C143" s="20" t="s">
        <v>144</v>
      </c>
      <c r="D143" s="21">
        <v>29117</v>
      </c>
      <c r="E143" s="22">
        <f t="shared" si="4"/>
        <v>42.060273972602737</v>
      </c>
      <c r="F143" s="23" t="s">
        <v>17</v>
      </c>
      <c r="G143" s="23" t="s">
        <v>18</v>
      </c>
      <c r="H143" s="51"/>
      <c r="I143" s="24"/>
      <c r="J143" s="11">
        <f t="shared" si="5"/>
        <v>44469</v>
      </c>
      <c r="L143" s="12"/>
      <c r="N143" s="12"/>
    </row>
    <row r="144" spans="1:14" ht="16.5" customHeight="1">
      <c r="B144" s="19"/>
      <c r="C144" s="20" t="s">
        <v>145</v>
      </c>
      <c r="D144" s="21">
        <v>38062</v>
      </c>
      <c r="E144" s="22">
        <f t="shared" si="4"/>
        <v>17.553424657534247</v>
      </c>
      <c r="F144" s="23" t="s">
        <v>15</v>
      </c>
      <c r="G144" s="23" t="s">
        <v>20</v>
      </c>
      <c r="H144" s="51"/>
      <c r="I144" s="24">
        <v>42</v>
      </c>
      <c r="J144" s="11">
        <f t="shared" si="5"/>
        <v>44469</v>
      </c>
      <c r="L144" s="12"/>
      <c r="N144" s="12"/>
    </row>
    <row r="145" spans="1:14" ht="16.5" customHeight="1" thickBot="1">
      <c r="B145" s="25"/>
      <c r="C145" s="26" t="s">
        <v>146</v>
      </c>
      <c r="D145" s="27">
        <v>41722</v>
      </c>
      <c r="E145" s="28">
        <f t="shared" si="4"/>
        <v>7.5260273972602736</v>
      </c>
      <c r="F145" s="29" t="s">
        <v>15</v>
      </c>
      <c r="G145" s="29" t="s">
        <v>20</v>
      </c>
      <c r="H145" s="52"/>
      <c r="I145" s="30"/>
      <c r="J145" s="11">
        <f t="shared" si="5"/>
        <v>44469</v>
      </c>
      <c r="L145" s="12" t="s">
        <v>12</v>
      </c>
      <c r="N145" s="12" t="s">
        <v>13</v>
      </c>
    </row>
    <row r="146" spans="1:14" ht="16.5" customHeight="1" thickTop="1">
      <c r="B146" s="44">
        <v>43</v>
      </c>
      <c r="C146" s="45" t="s">
        <v>147</v>
      </c>
      <c r="D146" s="46">
        <v>22789</v>
      </c>
      <c r="E146" s="47">
        <f t="shared" si="4"/>
        <v>59.397260273972606</v>
      </c>
      <c r="F146" s="48" t="s">
        <v>15</v>
      </c>
      <c r="G146" s="48" t="s">
        <v>12</v>
      </c>
      <c r="H146" s="50">
        <v>3</v>
      </c>
      <c r="I146" s="49"/>
      <c r="J146" s="11">
        <f t="shared" si="5"/>
        <v>44469</v>
      </c>
      <c r="L146" s="12"/>
      <c r="N146" s="12"/>
    </row>
    <row r="147" spans="1:14" ht="16.5" customHeight="1">
      <c r="B147" s="19"/>
      <c r="C147" s="20" t="s">
        <v>148</v>
      </c>
      <c r="D147" s="21">
        <v>24875</v>
      </c>
      <c r="E147" s="22">
        <f t="shared" si="4"/>
        <v>53.682191780821917</v>
      </c>
      <c r="F147" s="23" t="s">
        <v>17</v>
      </c>
      <c r="G147" s="23" t="s">
        <v>18</v>
      </c>
      <c r="H147" s="51"/>
      <c r="I147" s="24"/>
      <c r="J147" s="11">
        <f t="shared" si="5"/>
        <v>44469</v>
      </c>
      <c r="L147" s="12"/>
      <c r="N147" s="12"/>
    </row>
    <row r="148" spans="1:14" ht="16.5" customHeight="1" thickBot="1">
      <c r="B148" s="25"/>
      <c r="C148" s="26" t="s">
        <v>149</v>
      </c>
      <c r="D148" s="27">
        <v>36004</v>
      </c>
      <c r="E148" s="28">
        <f t="shared" si="4"/>
        <v>23.19178082191781</v>
      </c>
      <c r="F148" s="29" t="s">
        <v>15</v>
      </c>
      <c r="G148" s="29" t="s">
        <v>20</v>
      </c>
      <c r="H148" s="52"/>
      <c r="I148" s="30">
        <v>43</v>
      </c>
      <c r="J148" s="11">
        <f t="shared" si="5"/>
        <v>44469</v>
      </c>
      <c r="L148" s="12"/>
      <c r="N148" s="12" t="s">
        <v>13</v>
      </c>
    </row>
    <row r="149" spans="1:14" ht="16.5" customHeight="1" thickTop="1">
      <c r="B149" s="13">
        <v>44</v>
      </c>
      <c r="C149" s="14" t="s">
        <v>150</v>
      </c>
      <c r="D149" s="37">
        <v>33320</v>
      </c>
      <c r="E149" s="16">
        <f t="shared" si="4"/>
        <v>30.545205479452054</v>
      </c>
      <c r="F149" s="17" t="s">
        <v>15</v>
      </c>
      <c r="G149" s="17" t="s">
        <v>12</v>
      </c>
      <c r="H149" s="50">
        <v>4</v>
      </c>
      <c r="I149" s="18"/>
      <c r="J149" s="11">
        <f t="shared" si="5"/>
        <v>44469</v>
      </c>
      <c r="L149" s="12"/>
      <c r="N149" s="12"/>
    </row>
    <row r="150" spans="1:14" ht="16.5" customHeight="1">
      <c r="B150" s="19"/>
      <c r="C150" s="20" t="s">
        <v>151</v>
      </c>
      <c r="D150" s="21">
        <v>32926</v>
      </c>
      <c r="E150" s="22">
        <f t="shared" si="4"/>
        <v>31.624657534246577</v>
      </c>
      <c r="F150" s="23" t="s">
        <v>17</v>
      </c>
      <c r="G150" s="23" t="s">
        <v>18</v>
      </c>
      <c r="H150" s="51"/>
      <c r="I150" s="24"/>
      <c r="J150" s="11">
        <f t="shared" si="5"/>
        <v>44469</v>
      </c>
      <c r="L150" s="12"/>
      <c r="N150" s="12"/>
    </row>
    <row r="151" spans="1:14" ht="16.5" customHeight="1">
      <c r="B151" s="19"/>
      <c r="C151" s="20" t="s">
        <v>152</v>
      </c>
      <c r="D151" s="21">
        <v>40357</v>
      </c>
      <c r="E151" s="22">
        <f t="shared" si="4"/>
        <v>11.265753424657534</v>
      </c>
      <c r="F151" s="23" t="s">
        <v>15</v>
      </c>
      <c r="G151" s="23" t="s">
        <v>20</v>
      </c>
      <c r="H151" s="51"/>
      <c r="I151" s="24"/>
      <c r="J151" s="11">
        <f t="shared" si="5"/>
        <v>44469</v>
      </c>
      <c r="L151" s="12"/>
      <c r="N151" s="12"/>
    </row>
    <row r="152" spans="1:14" ht="16.5" customHeight="1" thickBot="1">
      <c r="B152" s="25"/>
      <c r="C152" s="26" t="s">
        <v>153</v>
      </c>
      <c r="D152" s="27">
        <v>43635</v>
      </c>
      <c r="E152" s="28">
        <f t="shared" si="4"/>
        <v>2.2849315068493152</v>
      </c>
      <c r="F152" s="29" t="s">
        <v>15</v>
      </c>
      <c r="G152" s="29" t="s">
        <v>20</v>
      </c>
      <c r="H152" s="52"/>
      <c r="I152" s="30"/>
      <c r="J152" s="11">
        <f t="shared" si="5"/>
        <v>44469</v>
      </c>
      <c r="L152" s="12" t="s">
        <v>12</v>
      </c>
      <c r="N152" s="12" t="s">
        <v>13</v>
      </c>
    </row>
    <row r="153" spans="1:14" ht="16.5" customHeight="1" thickTop="1">
      <c r="B153" s="13">
        <v>45</v>
      </c>
      <c r="C153" s="14" t="s">
        <v>154</v>
      </c>
      <c r="D153" s="37">
        <v>28628</v>
      </c>
      <c r="E153" s="16">
        <f t="shared" si="4"/>
        <v>43.4</v>
      </c>
      <c r="F153" s="17" t="s">
        <v>15</v>
      </c>
      <c r="G153" s="17" t="s">
        <v>12</v>
      </c>
      <c r="H153" s="50">
        <v>2</v>
      </c>
      <c r="I153" s="18"/>
      <c r="J153" s="11">
        <f t="shared" si="5"/>
        <v>44469</v>
      </c>
      <c r="L153" s="12"/>
      <c r="N153" s="12"/>
    </row>
    <row r="154" spans="1:14" ht="16.5" customHeight="1" thickBot="1">
      <c r="B154" s="25"/>
      <c r="C154" s="26" t="s">
        <v>155</v>
      </c>
      <c r="D154" s="27">
        <v>39529</v>
      </c>
      <c r="E154" s="28">
        <f t="shared" si="4"/>
        <v>13.534246575342467</v>
      </c>
      <c r="F154" s="29" t="s">
        <v>15</v>
      </c>
      <c r="G154" s="29" t="s">
        <v>20</v>
      </c>
      <c r="H154" s="52"/>
      <c r="I154" s="30">
        <v>45</v>
      </c>
      <c r="J154" s="11">
        <f t="shared" si="5"/>
        <v>44469</v>
      </c>
      <c r="L154" s="12"/>
      <c r="N154" s="12"/>
    </row>
    <row r="155" spans="1:14" ht="16.5" customHeight="1" thickTop="1">
      <c r="A155">
        <v>9</v>
      </c>
      <c r="B155" s="13">
        <v>46</v>
      </c>
      <c r="C155" s="14" t="s">
        <v>156</v>
      </c>
      <c r="D155" s="37">
        <v>25313</v>
      </c>
      <c r="E155" s="16">
        <f t="shared" si="4"/>
        <v>52.482191780821921</v>
      </c>
      <c r="F155" s="17" t="s">
        <v>17</v>
      </c>
      <c r="G155" s="17" t="s">
        <v>12</v>
      </c>
      <c r="H155" s="17">
        <v>3</v>
      </c>
      <c r="I155" s="18"/>
      <c r="J155" s="11">
        <f t="shared" si="5"/>
        <v>44469</v>
      </c>
      <c r="L155" s="12"/>
      <c r="N155" s="12"/>
    </row>
    <row r="156" spans="1:14" ht="16.5" customHeight="1">
      <c r="B156" s="19"/>
      <c r="C156" s="20" t="s">
        <v>157</v>
      </c>
      <c r="D156" s="21">
        <v>34678</v>
      </c>
      <c r="E156" s="22">
        <f t="shared" si="4"/>
        <v>26.824657534246576</v>
      </c>
      <c r="F156" s="23" t="s">
        <v>17</v>
      </c>
      <c r="G156" s="23" t="s">
        <v>20</v>
      </c>
      <c r="H156" s="23"/>
      <c r="I156" s="24"/>
      <c r="J156" s="11">
        <f t="shared" si="5"/>
        <v>44469</v>
      </c>
      <c r="L156" s="12"/>
      <c r="N156" s="12"/>
    </row>
    <row r="157" spans="1:14" ht="16.5" customHeight="1" thickBot="1">
      <c r="B157" s="25"/>
      <c r="C157" s="26" t="s">
        <v>158</v>
      </c>
      <c r="D157" s="27">
        <v>36800</v>
      </c>
      <c r="E157" s="28">
        <f t="shared" si="4"/>
        <v>21.010958904109589</v>
      </c>
      <c r="F157" s="29" t="s">
        <v>15</v>
      </c>
      <c r="G157" s="29" t="s">
        <v>20</v>
      </c>
      <c r="H157" s="29"/>
      <c r="I157" s="30">
        <v>46</v>
      </c>
      <c r="J157" s="11">
        <f t="shared" si="5"/>
        <v>44469</v>
      </c>
      <c r="L157" s="12" t="s">
        <v>12</v>
      </c>
      <c r="N157" s="12" t="s">
        <v>13</v>
      </c>
    </row>
    <row r="158" spans="1:14" ht="16.5" customHeight="1" thickTop="1">
      <c r="B158" s="13">
        <v>47</v>
      </c>
      <c r="C158" s="14" t="s">
        <v>159</v>
      </c>
      <c r="D158" s="37">
        <v>28855</v>
      </c>
      <c r="E158" s="16">
        <f t="shared" si="4"/>
        <v>42.778082191780825</v>
      </c>
      <c r="F158" s="17" t="s">
        <v>15</v>
      </c>
      <c r="G158" s="17" t="s">
        <v>12</v>
      </c>
      <c r="H158" s="50">
        <v>2</v>
      </c>
      <c r="I158" s="18"/>
      <c r="J158" s="11">
        <f t="shared" si="5"/>
        <v>44469</v>
      </c>
      <c r="L158" s="12"/>
      <c r="N158" s="12"/>
    </row>
    <row r="159" spans="1:14" ht="16.5" customHeight="1">
      <c r="B159" s="38"/>
      <c r="C159" s="39" t="s">
        <v>160</v>
      </c>
      <c r="D159" s="40">
        <v>37465</v>
      </c>
      <c r="E159" s="41">
        <f t="shared" si="4"/>
        <v>19.18904109589041</v>
      </c>
      <c r="F159" s="42" t="s">
        <v>17</v>
      </c>
      <c r="G159" s="42" t="s">
        <v>20</v>
      </c>
      <c r="H159" s="51"/>
      <c r="I159" s="43">
        <v>47</v>
      </c>
      <c r="J159" s="11">
        <f t="shared" si="5"/>
        <v>44469</v>
      </c>
      <c r="L159" s="12"/>
      <c r="N159" s="12"/>
    </row>
    <row r="160" spans="1:14" ht="16.5" customHeight="1">
      <c r="B160" s="113">
        <v>48</v>
      </c>
      <c r="C160" s="106" t="s">
        <v>186</v>
      </c>
      <c r="D160" s="107">
        <v>26418</v>
      </c>
      <c r="E160" s="108"/>
      <c r="F160" s="105" t="s">
        <v>15</v>
      </c>
      <c r="G160" s="105" t="s">
        <v>12</v>
      </c>
      <c r="H160" s="105">
        <f>SUM(H9:H159)</f>
        <v>144</v>
      </c>
      <c r="I160" s="106"/>
      <c r="J160" s="11">
        <f t="shared" si="5"/>
        <v>44469</v>
      </c>
      <c r="L160" s="12"/>
      <c r="N160" s="12"/>
    </row>
    <row r="161" spans="2:14" ht="16.5" customHeight="1">
      <c r="B161" s="114"/>
      <c r="C161" s="106" t="s">
        <v>187</v>
      </c>
      <c r="D161" s="107"/>
      <c r="E161" s="108"/>
      <c r="F161" s="105" t="s">
        <v>17</v>
      </c>
      <c r="G161" s="105" t="s">
        <v>18</v>
      </c>
      <c r="H161" s="105"/>
      <c r="I161" s="106"/>
      <c r="J161" s="11"/>
      <c r="L161" s="12"/>
      <c r="N161" s="12"/>
    </row>
    <row r="162" spans="2:14" ht="16.5" customHeight="1">
      <c r="B162" s="114"/>
      <c r="C162" s="106" t="s">
        <v>188</v>
      </c>
      <c r="D162" s="107"/>
      <c r="E162" s="108"/>
      <c r="F162" s="105" t="s">
        <v>15</v>
      </c>
      <c r="G162" s="105" t="s">
        <v>20</v>
      </c>
      <c r="H162" s="105"/>
      <c r="I162" s="106"/>
      <c r="J162" s="11"/>
      <c r="L162" s="12"/>
      <c r="N162" s="12"/>
    </row>
    <row r="163" spans="2:14" ht="16.5" customHeight="1" thickBot="1">
      <c r="B163" s="115"/>
      <c r="C163" s="110" t="s">
        <v>189</v>
      </c>
      <c r="D163" s="111"/>
      <c r="E163" s="112"/>
      <c r="F163" s="109" t="s">
        <v>15</v>
      </c>
      <c r="G163" s="109" t="s">
        <v>20</v>
      </c>
      <c r="H163" s="109"/>
      <c r="I163" s="110"/>
      <c r="J163" s="11"/>
      <c r="L163" s="12"/>
      <c r="N163" s="12"/>
    </row>
    <row r="164" spans="2:14" ht="16.5" customHeight="1" thickTop="1">
      <c r="B164" s="116">
        <v>49</v>
      </c>
      <c r="C164" s="117" t="s">
        <v>190</v>
      </c>
      <c r="D164" s="118"/>
      <c r="E164" s="119"/>
      <c r="F164" s="116" t="s">
        <v>15</v>
      </c>
      <c r="G164" s="116" t="s">
        <v>12</v>
      </c>
      <c r="H164" s="116"/>
      <c r="I164" s="117"/>
      <c r="J164" s="11"/>
      <c r="L164" s="12"/>
      <c r="N164" s="12"/>
    </row>
    <row r="165" spans="2:14" ht="16.5" customHeight="1" thickBot="1">
      <c r="B165" s="120"/>
      <c r="C165" s="121" t="s">
        <v>191</v>
      </c>
      <c r="D165" s="122"/>
      <c r="E165" s="123"/>
      <c r="F165" s="120" t="s">
        <v>17</v>
      </c>
      <c r="G165" s="120" t="s">
        <v>18</v>
      </c>
      <c r="H165" s="120"/>
      <c r="I165" s="121"/>
      <c r="J165" s="11"/>
      <c r="L165" s="12"/>
      <c r="N165" s="12"/>
    </row>
    <row r="166" spans="2:14" ht="16.5" customHeight="1" thickTop="1">
      <c r="B166" s="134">
        <v>50</v>
      </c>
      <c r="C166" s="125" t="s">
        <v>192</v>
      </c>
      <c r="D166" s="126"/>
      <c r="E166" s="127"/>
      <c r="F166" s="128" t="s">
        <v>15</v>
      </c>
      <c r="G166" s="128" t="s">
        <v>12</v>
      </c>
      <c r="H166" s="128"/>
      <c r="I166" s="129"/>
      <c r="J166" s="11"/>
      <c r="L166" s="12"/>
      <c r="N166" s="12"/>
    </row>
    <row r="167" spans="2:14" ht="16.5" customHeight="1">
      <c r="B167" s="135"/>
      <c r="C167" s="106" t="s">
        <v>193</v>
      </c>
      <c r="D167" s="107"/>
      <c r="E167" s="108"/>
      <c r="F167" s="105" t="s">
        <v>17</v>
      </c>
      <c r="G167" s="105" t="s">
        <v>18</v>
      </c>
      <c r="H167" s="105"/>
      <c r="I167" s="131"/>
      <c r="J167" s="11"/>
      <c r="L167" s="12"/>
      <c r="N167" s="12"/>
    </row>
    <row r="168" spans="2:14" ht="16.5" customHeight="1">
      <c r="B168" s="135"/>
      <c r="C168" s="106" t="s">
        <v>194</v>
      </c>
      <c r="D168" s="107"/>
      <c r="E168" s="108"/>
      <c r="F168" s="105" t="s">
        <v>17</v>
      </c>
      <c r="G168" s="105" t="s">
        <v>20</v>
      </c>
      <c r="H168" s="105"/>
      <c r="I168" s="131"/>
      <c r="J168" s="11"/>
      <c r="L168" s="12"/>
      <c r="N168" s="12"/>
    </row>
    <row r="169" spans="2:14" ht="16.5" customHeight="1" thickBot="1">
      <c r="B169" s="136"/>
      <c r="C169" s="110" t="s">
        <v>195</v>
      </c>
      <c r="D169" s="111"/>
      <c r="E169" s="112"/>
      <c r="F169" s="109" t="s">
        <v>15</v>
      </c>
      <c r="G169" s="109" t="s">
        <v>20</v>
      </c>
      <c r="H169" s="109"/>
      <c r="I169" s="133"/>
      <c r="J169" s="11"/>
      <c r="L169" s="12"/>
      <c r="N169" s="12"/>
    </row>
    <row r="170" spans="2:14" ht="16.5" customHeight="1" thickTop="1">
      <c r="B170" s="124"/>
      <c r="C170" s="125" t="s">
        <v>185</v>
      </c>
      <c r="D170" s="126"/>
      <c r="E170" s="127"/>
      <c r="F170" s="128" t="s">
        <v>15</v>
      </c>
      <c r="G170" s="128" t="s">
        <v>12</v>
      </c>
      <c r="H170" s="128"/>
      <c r="I170" s="129"/>
      <c r="J170" s="11"/>
      <c r="L170" s="12"/>
      <c r="N170" s="12"/>
    </row>
    <row r="171" spans="2:14" ht="16.5" customHeight="1">
      <c r="B171" s="130">
        <v>51</v>
      </c>
      <c r="C171" s="106" t="s">
        <v>196</v>
      </c>
      <c r="D171" s="107"/>
      <c r="E171" s="108"/>
      <c r="F171" s="105" t="s">
        <v>17</v>
      </c>
      <c r="G171" s="105" t="s">
        <v>18</v>
      </c>
      <c r="H171" s="105"/>
      <c r="I171" s="131"/>
      <c r="J171" s="11"/>
      <c r="L171" s="12"/>
      <c r="N171" s="12"/>
    </row>
    <row r="172" spans="2:14" ht="16.5" customHeight="1" thickBot="1">
      <c r="B172" s="132"/>
      <c r="C172" s="110" t="s">
        <v>197</v>
      </c>
      <c r="D172" s="111"/>
      <c r="E172" s="112"/>
      <c r="F172" s="109" t="s">
        <v>17</v>
      </c>
      <c r="G172" s="109" t="s">
        <v>20</v>
      </c>
      <c r="H172" s="109"/>
      <c r="I172" s="133"/>
      <c r="J172" s="11"/>
      <c r="L172" s="12"/>
      <c r="N172" s="12"/>
    </row>
    <row r="173" spans="2:14" ht="16.5" customHeight="1" thickTop="1">
      <c r="B173" s="134">
        <v>50</v>
      </c>
      <c r="C173" s="125" t="s">
        <v>198</v>
      </c>
      <c r="D173" s="126"/>
      <c r="E173" s="127"/>
      <c r="F173" s="128" t="s">
        <v>15</v>
      </c>
      <c r="G173" s="128" t="s">
        <v>12</v>
      </c>
      <c r="H173" s="128"/>
      <c r="I173" s="129"/>
      <c r="J173" s="11"/>
      <c r="L173" s="12"/>
      <c r="N173" s="12"/>
    </row>
    <row r="174" spans="2:14" ht="16.5" customHeight="1">
      <c r="B174" s="135"/>
      <c r="C174" s="106" t="s">
        <v>199</v>
      </c>
      <c r="D174" s="107"/>
      <c r="E174" s="108"/>
      <c r="F174" s="105" t="s">
        <v>17</v>
      </c>
      <c r="G174" s="105" t="s">
        <v>18</v>
      </c>
      <c r="H174" s="105"/>
      <c r="I174" s="131"/>
      <c r="J174" s="11"/>
      <c r="L174" s="12"/>
      <c r="N174" s="12"/>
    </row>
    <row r="175" spans="2:14" ht="16.5" customHeight="1">
      <c r="B175" s="135"/>
      <c r="C175" s="106" t="s">
        <v>200</v>
      </c>
      <c r="D175" s="107"/>
      <c r="E175" s="108"/>
      <c r="F175" s="105" t="s">
        <v>17</v>
      </c>
      <c r="G175" s="105" t="s">
        <v>20</v>
      </c>
      <c r="H175" s="105"/>
      <c r="I175" s="131"/>
      <c r="J175" s="11"/>
      <c r="L175" s="12"/>
      <c r="N175" s="12"/>
    </row>
    <row r="176" spans="2:14" ht="16.5" customHeight="1" thickBot="1">
      <c r="B176" s="136"/>
      <c r="C176" s="110" t="s">
        <v>201</v>
      </c>
      <c r="D176" s="111"/>
      <c r="E176" s="112"/>
      <c r="F176" s="109" t="s">
        <v>15</v>
      </c>
      <c r="G176" s="109" t="s">
        <v>20</v>
      </c>
      <c r="H176" s="109"/>
      <c r="I176" s="133"/>
      <c r="J176" s="11"/>
      <c r="L176" s="12"/>
      <c r="N176" s="12"/>
    </row>
    <row r="177" spans="2:14" ht="16.5" customHeight="1" thickTop="1">
      <c r="B177" s="124">
        <v>51</v>
      </c>
      <c r="C177" s="125" t="s">
        <v>204</v>
      </c>
      <c r="D177" s="126"/>
      <c r="E177" s="127"/>
      <c r="F177" s="128" t="s">
        <v>15</v>
      </c>
      <c r="G177" s="128" t="s">
        <v>12</v>
      </c>
      <c r="H177" s="128"/>
      <c r="I177" s="129"/>
      <c r="J177" s="11"/>
      <c r="L177" s="12"/>
      <c r="N177" s="12"/>
    </row>
    <row r="178" spans="2:14" ht="16.5" customHeight="1">
      <c r="B178" s="130"/>
      <c r="C178" s="106" t="s">
        <v>99</v>
      </c>
      <c r="D178" s="107"/>
      <c r="E178" s="108"/>
      <c r="F178" s="105" t="s">
        <v>17</v>
      </c>
      <c r="G178" s="105" t="s">
        <v>18</v>
      </c>
      <c r="H178" s="105"/>
      <c r="I178" s="131"/>
      <c r="J178" s="11"/>
      <c r="L178" s="12"/>
      <c r="N178" s="12"/>
    </row>
    <row r="179" spans="2:14" ht="16.5" customHeight="1" thickBot="1">
      <c r="B179" s="132"/>
      <c r="C179" s="110" t="s">
        <v>205</v>
      </c>
      <c r="D179" s="111"/>
      <c r="E179" s="112"/>
      <c r="F179" s="109" t="s">
        <v>17</v>
      </c>
      <c r="G179" s="109" t="s">
        <v>20</v>
      </c>
      <c r="H179" s="109"/>
      <c r="I179" s="133"/>
      <c r="J179" s="11"/>
      <c r="L179" s="12"/>
      <c r="N179" s="12"/>
    </row>
    <row r="180" spans="2:14" ht="16.2" thickTop="1">
      <c r="B180" s="98">
        <v>52</v>
      </c>
      <c r="C180" s="56" t="s">
        <v>177</v>
      </c>
      <c r="D180" s="57"/>
      <c r="E180" s="16"/>
      <c r="F180" s="86" t="s">
        <v>15</v>
      </c>
      <c r="G180" s="86" t="s">
        <v>12</v>
      </c>
      <c r="H180" s="92">
        <v>4</v>
      </c>
      <c r="I180" s="65"/>
      <c r="J180" s="11"/>
      <c r="L180" s="12"/>
      <c r="N180" s="12"/>
    </row>
    <row r="181" spans="2:14" ht="15.6">
      <c r="B181" s="100"/>
      <c r="C181" s="77" t="s">
        <v>179</v>
      </c>
      <c r="D181" s="78"/>
      <c r="E181" s="22"/>
      <c r="F181" s="23" t="s">
        <v>17</v>
      </c>
      <c r="G181" s="21" t="s">
        <v>18</v>
      </c>
      <c r="H181" s="93"/>
      <c r="I181" s="79"/>
      <c r="J181" s="11"/>
      <c r="L181" s="12"/>
      <c r="N181" s="12"/>
    </row>
    <row r="182" spans="2:14" ht="15.6">
      <c r="B182" s="100"/>
      <c r="C182" s="77" t="s">
        <v>206</v>
      </c>
      <c r="D182" s="78"/>
      <c r="E182" s="22"/>
      <c r="F182" s="23" t="s">
        <v>15</v>
      </c>
      <c r="G182" s="21" t="s">
        <v>20</v>
      </c>
      <c r="H182" s="93"/>
      <c r="I182" s="79"/>
      <c r="J182" s="11"/>
      <c r="L182" s="12"/>
      <c r="N182" s="12"/>
    </row>
    <row r="183" spans="2:14" ht="16.2" thickBot="1">
      <c r="B183" s="99"/>
      <c r="C183" s="58" t="s">
        <v>207</v>
      </c>
      <c r="D183" s="59"/>
      <c r="E183" s="28"/>
      <c r="F183" s="87" t="s">
        <v>17</v>
      </c>
      <c r="G183" s="27" t="s">
        <v>20</v>
      </c>
      <c r="H183" s="94"/>
      <c r="I183" s="80"/>
      <c r="J183" s="11"/>
      <c r="L183" s="12"/>
      <c r="N183" s="12"/>
    </row>
    <row r="184" spans="2:14" ht="16.2" thickTop="1">
      <c r="B184" s="98">
        <v>53</v>
      </c>
      <c r="C184" s="56" t="s">
        <v>208</v>
      </c>
      <c r="D184" s="57"/>
      <c r="E184" s="16"/>
      <c r="F184" s="86" t="s">
        <v>15</v>
      </c>
      <c r="G184" s="86" t="s">
        <v>12</v>
      </c>
      <c r="H184" s="92">
        <v>4</v>
      </c>
      <c r="I184" s="65"/>
      <c r="J184" s="11"/>
      <c r="L184" s="12"/>
      <c r="N184" s="12"/>
    </row>
    <row r="185" spans="2:14" ht="15.6">
      <c r="B185" s="100"/>
      <c r="C185" s="77" t="s">
        <v>209</v>
      </c>
      <c r="D185" s="78"/>
      <c r="E185" s="22"/>
      <c r="F185" s="23" t="s">
        <v>17</v>
      </c>
      <c r="G185" s="21" t="s">
        <v>18</v>
      </c>
      <c r="H185" s="93"/>
      <c r="I185" s="79"/>
      <c r="J185" s="11"/>
      <c r="L185" s="12"/>
      <c r="N185" s="12"/>
    </row>
    <row r="186" spans="2:14" ht="15.6">
      <c r="B186" s="100"/>
      <c r="C186" s="77" t="s">
        <v>210</v>
      </c>
      <c r="D186" s="78"/>
      <c r="E186" s="22"/>
      <c r="F186" s="23" t="s">
        <v>17</v>
      </c>
      <c r="G186" s="21" t="s">
        <v>20</v>
      </c>
      <c r="H186" s="93"/>
      <c r="I186" s="79"/>
      <c r="J186" s="11"/>
      <c r="L186" s="12"/>
      <c r="N186" s="12"/>
    </row>
    <row r="187" spans="2:14" ht="16.2" thickBot="1">
      <c r="B187" s="99"/>
      <c r="C187" s="58" t="s">
        <v>211</v>
      </c>
      <c r="D187" s="59"/>
      <c r="E187" s="28"/>
      <c r="F187" s="87" t="s">
        <v>17</v>
      </c>
      <c r="G187" s="27" t="s">
        <v>20</v>
      </c>
      <c r="H187" s="94"/>
      <c r="I187" s="80"/>
      <c r="J187" s="11"/>
      <c r="L187" s="12"/>
      <c r="N187" s="12"/>
    </row>
    <row r="188" spans="2:14" ht="16.2" thickTop="1">
      <c r="B188" s="124"/>
      <c r="C188" s="125" t="s">
        <v>215</v>
      </c>
      <c r="D188" s="126"/>
      <c r="E188" s="127"/>
      <c r="F188" s="128" t="s">
        <v>15</v>
      </c>
      <c r="G188" s="128" t="s">
        <v>12</v>
      </c>
      <c r="H188" s="128"/>
      <c r="I188" s="129"/>
      <c r="J188" s="11"/>
      <c r="L188" s="12"/>
      <c r="N188" s="12"/>
    </row>
    <row r="189" spans="2:14" ht="15.6">
      <c r="B189" s="130">
        <v>54</v>
      </c>
      <c r="C189" s="106" t="s">
        <v>216</v>
      </c>
      <c r="D189" s="107"/>
      <c r="E189" s="108"/>
      <c r="F189" s="105" t="s">
        <v>17</v>
      </c>
      <c r="G189" s="105" t="s">
        <v>18</v>
      </c>
      <c r="H189" s="105"/>
      <c r="I189" s="131"/>
      <c r="J189" s="11"/>
      <c r="L189" s="12"/>
      <c r="N189" s="12"/>
    </row>
    <row r="190" spans="2:14" ht="16.2" thickBot="1">
      <c r="B190" s="132"/>
      <c r="C190" s="110" t="s">
        <v>217</v>
      </c>
      <c r="D190" s="111"/>
      <c r="E190" s="112"/>
      <c r="F190" s="109" t="s">
        <v>15</v>
      </c>
      <c r="G190" s="109" t="s">
        <v>20</v>
      </c>
      <c r="H190" s="109"/>
      <c r="I190" s="133"/>
      <c r="J190" s="11"/>
      <c r="L190" s="12"/>
      <c r="N190" s="12"/>
    </row>
    <row r="191" spans="2:14" ht="16.2" thickTop="1">
      <c r="B191" s="124"/>
      <c r="C191" s="125" t="s">
        <v>221</v>
      </c>
      <c r="D191" s="126"/>
      <c r="E191" s="127"/>
      <c r="F191" s="128" t="s">
        <v>15</v>
      </c>
      <c r="G191" s="128" t="s">
        <v>12</v>
      </c>
      <c r="H191" s="128"/>
      <c r="I191" s="129"/>
      <c r="J191" s="11"/>
      <c r="L191" s="12"/>
      <c r="N191" s="12"/>
    </row>
    <row r="192" spans="2:14" ht="15.6">
      <c r="B192" s="130">
        <v>55</v>
      </c>
      <c r="C192" s="106" t="s">
        <v>222</v>
      </c>
      <c r="D192" s="107"/>
      <c r="E192" s="108"/>
      <c r="F192" s="105" t="s">
        <v>17</v>
      </c>
      <c r="G192" s="105" t="s">
        <v>18</v>
      </c>
      <c r="H192" s="105"/>
      <c r="I192" s="131"/>
      <c r="J192" s="11"/>
      <c r="L192" s="12"/>
      <c r="N192" s="12"/>
    </row>
    <row r="193" spans="1:14" ht="16.2" thickBot="1">
      <c r="B193" s="132"/>
      <c r="C193" s="110" t="s">
        <v>223</v>
      </c>
      <c r="D193" s="111"/>
      <c r="E193" s="112"/>
      <c r="F193" s="109" t="s">
        <v>17</v>
      </c>
      <c r="G193" s="109" t="s">
        <v>20</v>
      </c>
      <c r="H193" s="109"/>
      <c r="I193" s="133"/>
      <c r="J193" s="11"/>
      <c r="L193" s="12"/>
      <c r="N193" s="12"/>
    </row>
    <row r="194" spans="1:14" ht="16.2" thickTop="1">
      <c r="B194" s="124"/>
      <c r="C194" s="125" t="s">
        <v>224</v>
      </c>
      <c r="D194" s="126"/>
      <c r="E194" s="127"/>
      <c r="F194" s="128" t="s">
        <v>15</v>
      </c>
      <c r="G194" s="128" t="s">
        <v>12</v>
      </c>
      <c r="H194" s="128"/>
      <c r="I194" s="129"/>
      <c r="J194" s="11"/>
      <c r="L194" s="12"/>
      <c r="N194" s="12"/>
    </row>
    <row r="195" spans="1:14" ht="15.6">
      <c r="B195" s="130">
        <v>56</v>
      </c>
      <c r="C195" s="106" t="s">
        <v>225</v>
      </c>
      <c r="D195" s="107"/>
      <c r="E195" s="108"/>
      <c r="F195" s="105" t="s">
        <v>17</v>
      </c>
      <c r="G195" s="105" t="s">
        <v>18</v>
      </c>
      <c r="H195" s="105"/>
      <c r="I195" s="131"/>
      <c r="J195" s="11"/>
      <c r="L195" s="12"/>
      <c r="N195" s="12"/>
    </row>
    <row r="196" spans="1:14" ht="16.2" thickBot="1">
      <c r="B196" s="132"/>
      <c r="C196" s="110" t="s">
        <v>226</v>
      </c>
      <c r="D196" s="111"/>
      <c r="E196" s="112"/>
      <c r="F196" s="109" t="s">
        <v>17</v>
      </c>
      <c r="G196" s="109" t="s">
        <v>20</v>
      </c>
      <c r="H196" s="109"/>
      <c r="I196" s="133"/>
      <c r="J196" s="11"/>
      <c r="L196" s="12"/>
      <c r="N196" s="12"/>
    </row>
    <row r="197" spans="1:14" ht="16.2" thickTop="1">
      <c r="A197">
        <v>1</v>
      </c>
      <c r="B197" s="88">
        <v>57</v>
      </c>
      <c r="C197" s="14" t="s">
        <v>161</v>
      </c>
      <c r="D197" s="37">
        <v>24107</v>
      </c>
      <c r="E197" s="16" t="e">
        <f>INT((#REF!-D197))/365</f>
        <v>#REF!</v>
      </c>
      <c r="F197" s="17" t="s">
        <v>17</v>
      </c>
      <c r="G197" s="17" t="s">
        <v>12</v>
      </c>
      <c r="H197" s="92">
        <v>2</v>
      </c>
      <c r="I197" s="65"/>
      <c r="J197" s="11" t="e">
        <f>#REF!</f>
        <v>#REF!</v>
      </c>
      <c r="L197" s="12"/>
      <c r="N197" s="12"/>
    </row>
    <row r="198" spans="1:14" ht="16.2" thickBot="1">
      <c r="B198" s="91"/>
      <c r="C198" s="26" t="s">
        <v>162</v>
      </c>
      <c r="D198" s="27">
        <v>34936</v>
      </c>
      <c r="E198" s="28" t="e">
        <f>INT((J197-D198))/365</f>
        <v>#REF!</v>
      </c>
      <c r="F198" s="29" t="s">
        <v>17</v>
      </c>
      <c r="G198" s="29" t="s">
        <v>20</v>
      </c>
      <c r="H198" s="94"/>
      <c r="I198" s="66"/>
      <c r="J198" s="11" t="e">
        <f t="shared" si="5"/>
        <v>#REF!</v>
      </c>
      <c r="L198" s="12" t="s">
        <v>12</v>
      </c>
      <c r="N198" s="12" t="s">
        <v>12</v>
      </c>
    </row>
    <row r="199" spans="1:14" ht="16.2" thickTop="1">
      <c r="A199">
        <v>2</v>
      </c>
      <c r="B199" s="88">
        <v>58</v>
      </c>
      <c r="C199" s="14" t="s">
        <v>163</v>
      </c>
      <c r="D199" s="37">
        <v>29449</v>
      </c>
      <c r="E199" s="16" t="e">
        <f>INT((J198-D199))/365</f>
        <v>#REF!</v>
      </c>
      <c r="F199" s="17" t="s">
        <v>15</v>
      </c>
      <c r="G199" s="17" t="s">
        <v>12</v>
      </c>
      <c r="H199" s="92">
        <v>5</v>
      </c>
      <c r="I199" s="65"/>
      <c r="J199" s="11" t="e">
        <f t="shared" si="5"/>
        <v>#REF!</v>
      </c>
      <c r="L199" s="12"/>
      <c r="N199" s="12"/>
    </row>
    <row r="200" spans="1:14" ht="15.6">
      <c r="B200" s="89"/>
      <c r="C200" s="20" t="s">
        <v>164</v>
      </c>
      <c r="D200" s="21">
        <v>30795</v>
      </c>
      <c r="E200" s="22" t="e">
        <f>INT((J199-D200))/365</f>
        <v>#REF!</v>
      </c>
      <c r="F200" s="23" t="s">
        <v>17</v>
      </c>
      <c r="G200" s="23" t="s">
        <v>18</v>
      </c>
      <c r="H200" s="93"/>
      <c r="I200" s="67"/>
      <c r="J200" s="11" t="e">
        <f t="shared" si="5"/>
        <v>#REF!</v>
      </c>
      <c r="L200" s="12"/>
      <c r="N200" s="12"/>
    </row>
    <row r="201" spans="1:14" ht="15.6">
      <c r="B201" s="90"/>
      <c r="C201" s="39"/>
      <c r="D201" s="40"/>
      <c r="E201" s="41"/>
      <c r="F201" s="42"/>
      <c r="G201" s="42" t="s">
        <v>20</v>
      </c>
      <c r="H201" s="93"/>
      <c r="I201" s="68"/>
      <c r="J201" s="11" t="e">
        <f t="shared" si="5"/>
        <v>#REF!</v>
      </c>
      <c r="L201" s="12"/>
      <c r="N201" s="12"/>
    </row>
    <row r="202" spans="1:14" ht="15.6">
      <c r="B202" s="90"/>
      <c r="C202" s="39"/>
      <c r="D202" s="40"/>
      <c r="E202" s="41"/>
      <c r="F202" s="42"/>
      <c r="G202" s="42" t="s">
        <v>20</v>
      </c>
      <c r="H202" s="93"/>
      <c r="I202" s="68"/>
      <c r="J202" s="11" t="e">
        <f t="shared" si="5"/>
        <v>#REF!</v>
      </c>
      <c r="L202" s="12"/>
      <c r="N202" s="12"/>
    </row>
    <row r="203" spans="1:14" ht="16.2" thickBot="1">
      <c r="A203">
        <v>3</v>
      </c>
      <c r="B203" s="91"/>
      <c r="C203" s="26"/>
      <c r="D203" s="29"/>
      <c r="E203" s="28" t="e">
        <f t="shared" ref="E203:E217" si="6">INT((J202-D203))/365</f>
        <v>#REF!</v>
      </c>
      <c r="F203" s="29"/>
      <c r="G203" s="29" t="s">
        <v>20</v>
      </c>
      <c r="H203" s="94"/>
      <c r="I203" s="66"/>
      <c r="J203" s="11" t="e">
        <f t="shared" si="5"/>
        <v>#REF!</v>
      </c>
      <c r="L203" s="12"/>
      <c r="N203" s="12"/>
    </row>
    <row r="204" spans="1:14" ht="16.2" thickTop="1">
      <c r="B204" s="97">
        <v>59</v>
      </c>
      <c r="C204" s="69" t="s">
        <v>165</v>
      </c>
      <c r="D204" s="70" t="s">
        <v>166</v>
      </c>
      <c r="E204" s="47" t="e">
        <f t="shared" si="6"/>
        <v>#REF!</v>
      </c>
      <c r="F204" s="48" t="s">
        <v>15</v>
      </c>
      <c r="G204" s="48"/>
      <c r="H204" s="92">
        <v>2</v>
      </c>
      <c r="I204" s="71"/>
      <c r="J204" s="11" t="e">
        <f t="shared" si="5"/>
        <v>#REF!</v>
      </c>
      <c r="L204" s="12"/>
      <c r="N204" s="12"/>
    </row>
    <row r="205" spans="1:14" ht="16.2" thickBot="1">
      <c r="B205" s="91"/>
      <c r="C205" s="26" t="s">
        <v>167</v>
      </c>
      <c r="D205" s="27">
        <v>30163</v>
      </c>
      <c r="E205" s="28" t="e">
        <f t="shared" si="6"/>
        <v>#REF!</v>
      </c>
      <c r="F205" s="29" t="s">
        <v>17</v>
      </c>
      <c r="G205" s="29"/>
      <c r="H205" s="94"/>
      <c r="I205" s="66"/>
      <c r="J205" s="11" t="e">
        <f t="shared" si="5"/>
        <v>#REF!</v>
      </c>
      <c r="L205" s="12"/>
      <c r="N205" s="12"/>
    </row>
    <row r="206" spans="1:14" ht="16.2" thickTop="1">
      <c r="A206">
        <v>4</v>
      </c>
      <c r="B206" s="98">
        <v>60</v>
      </c>
      <c r="C206" s="14" t="s">
        <v>168</v>
      </c>
      <c r="D206" s="62">
        <v>30915</v>
      </c>
      <c r="E206" s="72" t="e">
        <f t="shared" si="6"/>
        <v>#REF!</v>
      </c>
      <c r="F206" s="13" t="s">
        <v>15</v>
      </c>
      <c r="G206" s="17" t="s">
        <v>12</v>
      </c>
      <c r="H206" s="92">
        <v>2</v>
      </c>
      <c r="I206" s="65"/>
      <c r="J206" s="11" t="e">
        <f t="shared" si="5"/>
        <v>#REF!</v>
      </c>
      <c r="L206" s="12"/>
      <c r="N206" s="12"/>
    </row>
    <row r="207" spans="1:14" ht="16.2" thickBot="1">
      <c r="B207" s="99"/>
      <c r="C207" s="26" t="s">
        <v>169</v>
      </c>
      <c r="D207" s="64">
        <v>28144</v>
      </c>
      <c r="E207" s="73" t="e">
        <f t="shared" si="6"/>
        <v>#REF!</v>
      </c>
      <c r="F207" s="25" t="s">
        <v>17</v>
      </c>
      <c r="G207" s="29" t="s">
        <v>18</v>
      </c>
      <c r="H207" s="94"/>
      <c r="I207" s="66"/>
      <c r="J207" s="11" t="e">
        <f t="shared" si="5"/>
        <v>#REF!</v>
      </c>
      <c r="L207" s="12"/>
      <c r="N207" s="12"/>
    </row>
    <row r="208" spans="1:14" ht="16.2" thickTop="1">
      <c r="A208">
        <v>5</v>
      </c>
      <c r="B208" s="88">
        <v>61</v>
      </c>
      <c r="C208" s="14" t="s">
        <v>170</v>
      </c>
      <c r="D208" s="37">
        <v>29962</v>
      </c>
      <c r="E208" s="16" t="e">
        <f t="shared" si="6"/>
        <v>#REF!</v>
      </c>
      <c r="F208" s="17" t="s">
        <v>15</v>
      </c>
      <c r="G208" s="17" t="s">
        <v>12</v>
      </c>
      <c r="H208" s="92">
        <v>3</v>
      </c>
      <c r="I208" s="65"/>
      <c r="J208" s="11" t="e">
        <f t="shared" si="5"/>
        <v>#REF!</v>
      </c>
      <c r="L208" s="12"/>
      <c r="N208" s="12"/>
    </row>
    <row r="209" spans="1:14" ht="15.6">
      <c r="B209" s="100"/>
      <c r="C209" s="20" t="s">
        <v>171</v>
      </c>
      <c r="D209" s="21">
        <v>33684</v>
      </c>
      <c r="E209" s="22" t="e">
        <f t="shared" si="6"/>
        <v>#REF!</v>
      </c>
      <c r="F209" s="51" t="s">
        <v>17</v>
      </c>
      <c r="G209" s="51" t="s">
        <v>18</v>
      </c>
      <c r="H209" s="93"/>
      <c r="I209" s="74"/>
      <c r="J209" s="11" t="e">
        <f t="shared" si="5"/>
        <v>#REF!</v>
      </c>
      <c r="L209" s="12"/>
      <c r="N209" s="12"/>
    </row>
    <row r="210" spans="1:14" ht="16.2" thickBot="1">
      <c r="A210">
        <v>6</v>
      </c>
      <c r="B210" s="91"/>
      <c r="C210" s="26"/>
      <c r="D210" s="27"/>
      <c r="E210" s="28" t="e">
        <f t="shared" si="6"/>
        <v>#REF!</v>
      </c>
      <c r="F210" s="29"/>
      <c r="G210" s="29" t="s">
        <v>20</v>
      </c>
      <c r="H210" s="94"/>
      <c r="I210" s="66"/>
      <c r="J210" s="11" t="e">
        <f t="shared" si="5"/>
        <v>#REF!</v>
      </c>
      <c r="L210" s="12"/>
      <c r="N210" s="12"/>
    </row>
    <row r="211" spans="1:14" ht="16.2" thickTop="1">
      <c r="B211" s="88">
        <v>62</v>
      </c>
      <c r="C211" s="14" t="s">
        <v>172</v>
      </c>
      <c r="D211" s="37">
        <v>30540</v>
      </c>
      <c r="E211" s="16" t="e">
        <f t="shared" si="6"/>
        <v>#REF!</v>
      </c>
      <c r="F211" s="17" t="s">
        <v>15</v>
      </c>
      <c r="G211" s="17" t="s">
        <v>12</v>
      </c>
      <c r="H211" s="92">
        <v>3</v>
      </c>
      <c r="I211" s="65"/>
      <c r="J211" s="11" t="e">
        <f t="shared" si="5"/>
        <v>#REF!</v>
      </c>
      <c r="L211" s="12"/>
      <c r="N211" s="12"/>
    </row>
    <row r="212" spans="1:14" ht="15.6">
      <c r="B212" s="89"/>
      <c r="C212" s="20" t="s">
        <v>173</v>
      </c>
      <c r="D212" s="21">
        <v>31768</v>
      </c>
      <c r="E212" s="22" t="e">
        <f t="shared" si="6"/>
        <v>#REF!</v>
      </c>
      <c r="F212" s="23" t="s">
        <v>17</v>
      </c>
      <c r="G212" s="23" t="s">
        <v>18</v>
      </c>
      <c r="H212" s="93"/>
      <c r="I212" s="67"/>
      <c r="J212" s="11" t="e">
        <f t="shared" si="5"/>
        <v>#REF!</v>
      </c>
      <c r="L212" s="12"/>
      <c r="N212" s="12"/>
    </row>
    <row r="213" spans="1:14" ht="16.2" thickBot="1">
      <c r="A213">
        <v>7</v>
      </c>
      <c r="B213" s="91"/>
      <c r="C213" s="26" t="s">
        <v>174</v>
      </c>
      <c r="D213" s="27">
        <v>40171</v>
      </c>
      <c r="E213" s="28" t="e">
        <f t="shared" si="6"/>
        <v>#REF!</v>
      </c>
      <c r="F213" s="29" t="s">
        <v>15</v>
      </c>
      <c r="G213" s="29" t="s">
        <v>20</v>
      </c>
      <c r="H213" s="94"/>
      <c r="I213" s="66"/>
      <c r="J213" s="11" t="e">
        <f t="shared" si="5"/>
        <v>#REF!</v>
      </c>
    </row>
    <row r="214" spans="1:14" ht="16.2" thickTop="1">
      <c r="B214" s="101">
        <v>63</v>
      </c>
      <c r="C214" s="75" t="s">
        <v>175</v>
      </c>
      <c r="D214" s="37">
        <v>35244</v>
      </c>
      <c r="E214" s="16" t="e">
        <f t="shared" si="6"/>
        <v>#REF!</v>
      </c>
      <c r="F214" s="17" t="s">
        <v>15</v>
      </c>
      <c r="G214" s="17" t="s">
        <v>12</v>
      </c>
      <c r="H214" s="103">
        <v>2</v>
      </c>
      <c r="I214" s="65"/>
      <c r="J214" s="11" t="e">
        <f t="shared" si="5"/>
        <v>#REF!</v>
      </c>
    </row>
    <row r="215" spans="1:14" ht="16.2" thickBot="1">
      <c r="B215" s="102"/>
      <c r="C215" s="76" t="s">
        <v>176</v>
      </c>
      <c r="D215" s="27">
        <v>35750</v>
      </c>
      <c r="E215" s="28" t="e">
        <f t="shared" si="6"/>
        <v>#REF!</v>
      </c>
      <c r="F215" s="29" t="s">
        <v>17</v>
      </c>
      <c r="G215" s="29" t="s">
        <v>18</v>
      </c>
      <c r="H215" s="104"/>
      <c r="I215" s="66"/>
      <c r="J215" s="11" t="e">
        <f t="shared" si="5"/>
        <v>#REF!</v>
      </c>
    </row>
    <row r="216" spans="1:14" ht="16.2" thickTop="1">
      <c r="A216">
        <v>8</v>
      </c>
      <c r="B216" s="98">
        <v>64</v>
      </c>
      <c r="C216" s="56" t="s">
        <v>177</v>
      </c>
      <c r="D216" s="57" t="s">
        <v>178</v>
      </c>
      <c r="E216" s="16" t="e">
        <f t="shared" si="6"/>
        <v>#REF!</v>
      </c>
      <c r="F216" s="17" t="s">
        <v>15</v>
      </c>
      <c r="G216" s="17" t="s">
        <v>12</v>
      </c>
      <c r="H216" s="92">
        <v>4</v>
      </c>
      <c r="I216" s="65"/>
      <c r="J216" s="11" t="e">
        <f t="shared" si="5"/>
        <v>#REF!</v>
      </c>
    </row>
    <row r="217" spans="1:14" ht="15.6">
      <c r="B217" s="100"/>
      <c r="C217" s="77" t="s">
        <v>179</v>
      </c>
      <c r="D217" s="78" t="s">
        <v>180</v>
      </c>
      <c r="E217" s="22" t="e">
        <f t="shared" si="6"/>
        <v>#REF!</v>
      </c>
      <c r="F217" s="23" t="s">
        <v>17</v>
      </c>
      <c r="G217" s="21" t="s">
        <v>18</v>
      </c>
      <c r="H217" s="93"/>
      <c r="I217" s="79"/>
      <c r="J217" s="11" t="e">
        <f t="shared" si="5"/>
        <v>#REF!</v>
      </c>
    </row>
    <row r="218" spans="1:14" ht="15.6">
      <c r="B218" s="100"/>
      <c r="C218" s="77"/>
      <c r="D218" s="78"/>
      <c r="E218" s="22"/>
      <c r="F218" s="23" t="s">
        <v>15</v>
      </c>
      <c r="G218" s="21" t="s">
        <v>20</v>
      </c>
      <c r="H218" s="93"/>
      <c r="I218" s="79"/>
      <c r="J218" s="11" t="e">
        <f t="shared" si="5"/>
        <v>#REF!</v>
      </c>
    </row>
    <row r="219" spans="1:14" ht="16.2" thickBot="1">
      <c r="B219" s="99"/>
      <c r="C219" s="58"/>
      <c r="D219" s="59"/>
      <c r="E219" s="28"/>
      <c r="F219" s="29" t="s">
        <v>17</v>
      </c>
      <c r="G219" s="27" t="s">
        <v>20</v>
      </c>
      <c r="H219" s="94"/>
      <c r="I219" s="80"/>
      <c r="J219" s="11" t="e">
        <f t="shared" si="5"/>
        <v>#REF!</v>
      </c>
    </row>
    <row r="220" spans="1:14" ht="16.2" thickTop="1">
      <c r="B220" s="98">
        <v>65</v>
      </c>
      <c r="C220" s="81" t="s">
        <v>181</v>
      </c>
      <c r="D220" s="57" t="s">
        <v>182</v>
      </c>
      <c r="E220" s="16" t="e">
        <f>INT((J219-D220))/365</f>
        <v>#REF!</v>
      </c>
      <c r="F220" s="17" t="s">
        <v>15</v>
      </c>
      <c r="G220" s="37" t="s">
        <v>12</v>
      </c>
      <c r="H220" s="92">
        <v>4</v>
      </c>
      <c r="I220" s="82"/>
      <c r="J220" s="11" t="e">
        <f t="shared" si="5"/>
        <v>#REF!</v>
      </c>
    </row>
    <row r="221" spans="1:14" ht="15.6">
      <c r="A221">
        <v>9</v>
      </c>
      <c r="B221" s="100"/>
      <c r="C221" s="77" t="s">
        <v>183</v>
      </c>
      <c r="D221" s="78" t="s">
        <v>184</v>
      </c>
      <c r="E221" s="22" t="e">
        <f>INT((J220-D221))/365</f>
        <v>#REF!</v>
      </c>
      <c r="F221" s="23" t="s">
        <v>17</v>
      </c>
      <c r="G221" s="21" t="s">
        <v>18</v>
      </c>
      <c r="H221" s="93"/>
      <c r="I221" s="79"/>
      <c r="J221" s="11" t="e">
        <f t="shared" si="5"/>
        <v>#REF!</v>
      </c>
    </row>
    <row r="222" spans="1:14" ht="15.6">
      <c r="B222" s="100"/>
      <c r="C222" s="77"/>
      <c r="D222" s="78"/>
      <c r="E222" s="83"/>
      <c r="F222" s="23"/>
      <c r="G222" s="21"/>
      <c r="H222" s="93"/>
      <c r="I222" s="79"/>
      <c r="J222" s="11" t="e">
        <f t="shared" si="5"/>
        <v>#REF!</v>
      </c>
    </row>
    <row r="223" spans="1:14" ht="15.6">
      <c r="B223" s="100"/>
      <c r="C223" s="77"/>
      <c r="D223" s="78"/>
      <c r="E223" s="83"/>
      <c r="F223" s="23"/>
      <c r="G223" s="21"/>
      <c r="H223" s="93"/>
      <c r="I223" s="79"/>
      <c r="J223" s="11" t="e">
        <f t="shared" si="5"/>
        <v>#REF!</v>
      </c>
    </row>
    <row r="224" spans="1:14" ht="16.2" thickBot="1">
      <c r="B224" s="99"/>
      <c r="C224" s="58"/>
      <c r="D224" s="59"/>
      <c r="E224" s="84"/>
      <c r="F224" s="29"/>
      <c r="G224" s="27"/>
      <c r="H224" s="94"/>
      <c r="I224" s="80"/>
      <c r="J224" s="11"/>
    </row>
    <row r="225" spans="2:3" ht="16.2" thickTop="1">
      <c r="B225" s="10"/>
      <c r="C225" s="10"/>
    </row>
  </sheetData>
  <mergeCells count="28">
    <mergeCell ref="B220:B224"/>
    <mergeCell ref="H220:H224"/>
    <mergeCell ref="B211:B213"/>
    <mergeCell ref="H211:H213"/>
    <mergeCell ref="B214:B215"/>
    <mergeCell ref="H214:H215"/>
    <mergeCell ref="B216:B219"/>
    <mergeCell ref="H216:H219"/>
    <mergeCell ref="B204:B205"/>
    <mergeCell ref="H204:H205"/>
    <mergeCell ref="B206:B207"/>
    <mergeCell ref="H206:H207"/>
    <mergeCell ref="B208:B210"/>
    <mergeCell ref="H208:H210"/>
    <mergeCell ref="B199:B203"/>
    <mergeCell ref="H199:H203"/>
    <mergeCell ref="B2:I2"/>
    <mergeCell ref="B3:I3"/>
    <mergeCell ref="B4:I4"/>
    <mergeCell ref="B197:B198"/>
    <mergeCell ref="H197:H198"/>
    <mergeCell ref="B160:B163"/>
    <mergeCell ref="B166:B169"/>
    <mergeCell ref="B173:B176"/>
    <mergeCell ref="B180:B183"/>
    <mergeCell ref="H180:H183"/>
    <mergeCell ref="B184:B187"/>
    <mergeCell ref="H184:H187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Nur</dc:creator>
  <cp:lastModifiedBy>punakawan solo</cp:lastModifiedBy>
  <dcterms:created xsi:type="dcterms:W3CDTF">2025-02-11T11:33:36Z</dcterms:created>
  <dcterms:modified xsi:type="dcterms:W3CDTF">2025-12-24T15:57:25Z</dcterms:modified>
</cp:coreProperties>
</file>